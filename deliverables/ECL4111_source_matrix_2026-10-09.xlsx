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_说明" sheetId="1" state="visible" r:id="rId3"/>
    <sheet name="1_教授建议" sheetId="2" state="visible" r:id="rId4"/>
    <sheet name="2_新结构" sheetId="3" state="visible" r:id="rId5"/>
    <sheet name="3_现有文献" sheetId="4" state="visible" r:id="rId6"/>
    <sheet name="4_删除清单" sheetId="5" state="visible" r:id="rId7"/>
    <sheet name="5_新增文献" sheetId="6" state="visible" r:id="rId8"/>
    <sheet name="6_清单自查" sheetId="7" state="visible" r:id="rId9"/>
    <sheet name="7_数量核对" sheetId="8" state="visible" r:id="rId10"/>
    <sheet name="8_引用分布" sheetId="9" state="visible" r:id="rId11"/>
  </sheets>
  <definedNames>
    <definedName function="false" hidden="true" localSheetId="1" name="_xlnm._FilterDatabase" vbProcedure="false">1_教授建议!$A$1:$H$32</definedName>
    <definedName function="false" hidden="true" localSheetId="2" name="_xlnm._FilterDatabase" vbProcedure="false">2_新结构!$A$1:$G$25</definedName>
    <definedName function="false" hidden="true" localSheetId="3" name="_xlnm._FilterDatabase" vbProcedure="false">3_现有文献!$A$1:$R$21</definedName>
    <definedName function="false" hidden="true" localSheetId="4" name="_xlnm._FilterDatabase" vbProcedure="false">4_删除清单!$A$1:$F$23</definedName>
    <definedName function="false" hidden="true" localSheetId="5" name="_xlnm._FilterDatabase" vbProcedure="false">5_新增文献!$A$1:$L$20</definedName>
    <definedName function="false" hidden="true" localSheetId="6" name="_xlnm._FilterDatabase" vbProcedure="false">6_清单自查!$A$1:$F$19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<sst xmlns="http://schemas.openxmlformats.org/spreadsheetml/2006/main" count="1492" uniqueCount="966">
  <si>
    <r>
      <rPr>
        <b val="true"/>
        <sz val="14"/>
        <color rgb="FF1F3864"/>
        <rFont val="Arial"/>
        <family val="0"/>
        <charset val="1"/>
      </rPr>
      <t xml:space="preserve">ECL4111 </t>
    </r>
    <r>
      <rPr>
        <b val="true"/>
        <sz val="14"/>
        <color rgb="FF1F3864"/>
        <rFont val="WenQuanYi Zen Hei"/>
        <family val="2"/>
      </rPr>
      <t xml:space="preserve">文献综合表：</t>
    </r>
    <r>
      <rPr>
        <b val="true"/>
        <sz val="14"/>
        <color rgb="FF1F3864"/>
        <rFont val="Arial"/>
        <family val="0"/>
        <charset val="1"/>
      </rPr>
      <t xml:space="preserve">2026-10-09 Shawnee </t>
    </r>
    <r>
      <rPr>
        <b val="true"/>
        <sz val="14"/>
        <color rgb="FF1F3864"/>
        <rFont val="WenQuanYi Zen Hei"/>
        <family val="2"/>
      </rPr>
      <t xml:space="preserve">教授一对一精修后</t>
    </r>
  </si>
  <si>
    <r>
      <rPr>
        <sz val="10"/>
        <rFont val="WenQuanYi Zen Hei"/>
        <family val="2"/>
      </rPr>
      <t xml:space="preserve">学生：</t>
    </r>
    <r>
      <rPr>
        <sz val="10"/>
        <rFont val="Arial"/>
        <family val="0"/>
        <charset val="1"/>
      </rPr>
      <t xml:space="preserve">Jiecheng Yang</t>
    </r>
    <r>
      <rPr>
        <sz val="10"/>
        <rFont val="WenQuanYi Zen Hei"/>
        <family val="2"/>
      </rPr>
      <t xml:space="preserve">｜题目：</t>
    </r>
    <r>
      <rPr>
        <sz val="10"/>
        <rFont val="Arial"/>
        <family val="0"/>
        <charset val="1"/>
      </rPr>
      <t xml:space="preserve">Newcomer Families' Access to and Use of Early Childhood Education and Care Support Resources in Toronto</t>
    </r>
    <r>
      <rPr>
        <sz val="10"/>
        <rFont val="WenQuanYi Zen Hei"/>
        <family val="2"/>
      </rPr>
      <t xml:space="preserve">｜截止：</t>
    </r>
    <r>
      <rPr>
        <sz val="10"/>
        <rFont val="Arial"/>
        <family val="0"/>
        <charset val="1"/>
      </rPr>
      <t xml:space="preserve">2026-10-16 (</t>
    </r>
    <r>
      <rPr>
        <sz val="10"/>
        <rFont val="WenQuanYi Zen Hei"/>
        <family val="2"/>
      </rPr>
      <t xml:space="preserve">周五</t>
    </r>
    <r>
      <rPr>
        <sz val="10"/>
        <rFont val="Arial"/>
        <family val="0"/>
        <charset val="1"/>
      </rPr>
      <t xml:space="preserve">) 11:59 pm</t>
    </r>
  </si>
  <si>
    <r>
      <rPr>
        <sz val="10"/>
        <rFont val="WenQuanYi Zen Hei"/>
        <family val="2"/>
      </rPr>
      <t xml:space="preserve">依据：</t>
    </r>
    <r>
      <rPr>
        <sz val="10"/>
        <rFont val="Arial"/>
        <family val="0"/>
        <charset val="1"/>
      </rPr>
      <t xml:space="preserve">(1) </t>
    </r>
    <r>
      <rPr>
        <sz val="10"/>
        <rFont val="WenQuanYi Zen Hei"/>
        <family val="2"/>
      </rPr>
      <t xml:space="preserve">会议转录 </t>
    </r>
    <r>
      <rPr>
        <sz val="10"/>
        <rFont val="Arial"/>
        <family val="0"/>
        <charset val="1"/>
      </rPr>
      <t xml:space="preserve">00:06:55–00:54:25</t>
    </r>
    <r>
      <rPr>
        <sz val="10"/>
        <rFont val="WenQuanYi Zen Hei"/>
        <family val="2"/>
      </rPr>
      <t xml:space="preserve">；</t>
    </r>
    <r>
      <rPr>
        <sz val="10"/>
        <rFont val="Arial"/>
        <family val="0"/>
        <charset val="1"/>
      </rPr>
      <t xml:space="preserve">(2) Google Doc </t>
    </r>
    <r>
      <rPr>
        <sz val="10"/>
        <rFont val="WenQuanYi Zen Hei"/>
        <family val="2"/>
      </rPr>
      <t xml:space="preserve">中教授的 </t>
    </r>
    <r>
      <rPr>
        <sz val="10"/>
        <rFont val="Arial"/>
        <family val="0"/>
        <charset val="1"/>
      </rPr>
      <t xml:space="preserve">7 </t>
    </r>
    <r>
      <rPr>
        <sz val="10"/>
        <rFont val="WenQuanYi Zen Hei"/>
        <family val="2"/>
      </rPr>
      <t xml:space="preserve">条批注和她当场输入的句子；</t>
    </r>
    <r>
      <rPr>
        <sz val="10"/>
        <rFont val="Arial"/>
        <family val="0"/>
        <charset val="1"/>
      </rPr>
      <t xml:space="preserve">(3) </t>
    </r>
    <r>
      <rPr>
        <sz val="10"/>
        <rFont val="WenQuanYi Zen Hei"/>
        <family val="2"/>
      </rPr>
      <t xml:space="preserve">教授发的三张清单 </t>
    </r>
    <r>
      <rPr>
        <sz val="10"/>
        <rFont val="Arial"/>
        <family val="0"/>
        <charset val="1"/>
      </rPr>
      <t xml:space="preserve">(Gaps / Thematic Analysis / Conclusion)</t>
    </r>
    <r>
      <rPr>
        <sz val="10"/>
        <rFont val="WenQuanYi Zen Hei"/>
        <family val="2"/>
      </rPr>
      <t xml:space="preserve">；</t>
    </r>
    <r>
      <rPr>
        <sz val="10"/>
        <rFont val="Arial"/>
        <family val="0"/>
        <charset val="1"/>
      </rPr>
      <t xml:space="preserve">(4) 13 </t>
    </r>
    <r>
      <rPr>
        <sz val="10"/>
        <rFont val="WenQuanYi Zen Hei"/>
        <family val="2"/>
      </rPr>
      <t xml:space="preserve">篇期刊文献 </t>
    </r>
    <r>
      <rPr>
        <sz val="10"/>
        <rFont val="Arial"/>
        <family val="0"/>
        <charset val="1"/>
      </rPr>
      <t xml:space="preserve">PDF </t>
    </r>
    <r>
      <rPr>
        <sz val="10"/>
        <rFont val="WenQuanYi Zen Hei"/>
        <family val="2"/>
      </rPr>
      <t xml:space="preserve">逐页核对；</t>
    </r>
    <r>
      <rPr>
        <sz val="10"/>
        <rFont val="Arial"/>
        <family val="0"/>
        <charset val="1"/>
      </rPr>
      <t xml:space="preserve">(5) </t>
    </r>
    <r>
      <rPr>
        <sz val="10"/>
        <rFont val="WenQuanYi Zen Hei"/>
        <family val="2"/>
      </rPr>
      <t xml:space="preserve">网上核对的新增候选文献。</t>
    </r>
  </si>
  <si>
    <t xml:space="preserve">工作表</t>
  </si>
  <si>
    <r>
      <rPr>
        <sz val="10"/>
        <rFont val="Arial"/>
        <family val="0"/>
        <charset val="1"/>
      </rPr>
      <t xml:space="preserve">1_</t>
    </r>
    <r>
      <rPr>
        <sz val="10"/>
        <rFont val="WenQuanYi Zen Hei"/>
        <family val="2"/>
      </rPr>
      <t xml:space="preserve">教授建议：</t>
    </r>
    <r>
      <rPr>
        <sz val="10"/>
        <rFont val="Arial"/>
        <family val="0"/>
        <charset val="1"/>
      </rPr>
      <t xml:space="preserve">31 </t>
    </r>
    <r>
      <rPr>
        <sz val="10"/>
        <rFont val="WenQuanYi Zen Hei"/>
        <family val="2"/>
      </rPr>
      <t xml:space="preserve">条意见，每条都有原话、中文解读和具体改法。</t>
    </r>
  </si>
  <si>
    <r>
      <rPr>
        <sz val="10"/>
        <rFont val="Arial"/>
        <family val="0"/>
        <charset val="1"/>
      </rPr>
      <t xml:space="preserve">2_</t>
    </r>
    <r>
      <rPr>
        <sz val="10"/>
        <rFont val="WenQuanYi Zen Hei"/>
        <family val="2"/>
      </rPr>
      <t xml:space="preserve">新结构：新论点和三个新主题，逐段写清证据、页码、加拿大锚点、删除内容。</t>
    </r>
  </si>
  <si>
    <r>
      <rPr>
        <sz val="10"/>
        <rFont val="Arial"/>
        <family val="0"/>
        <charset val="1"/>
      </rPr>
      <t xml:space="preserve">3_</t>
    </r>
    <r>
      <rPr>
        <sz val="10"/>
        <rFont val="WenQuanYi Zen Hei"/>
        <family val="2"/>
      </rPr>
      <t xml:space="preserve">现有文献：正文和 </t>
    </r>
    <r>
      <rPr>
        <sz val="10"/>
        <rFont val="Arial"/>
        <family val="0"/>
        <charset val="1"/>
      </rPr>
      <t xml:space="preserve">References </t>
    </r>
    <r>
      <rPr>
        <sz val="10"/>
        <rFont val="WenQuanYi Zen Hei"/>
        <family val="2"/>
      </rPr>
      <t xml:space="preserve">中出现的 </t>
    </r>
    <r>
      <rPr>
        <sz val="10"/>
        <rFont val="Arial"/>
        <family val="0"/>
        <charset val="1"/>
      </rPr>
      <t xml:space="preserve">13 </t>
    </r>
    <r>
      <rPr>
        <sz val="10"/>
        <rFont val="WenQuanYi Zen Hei"/>
        <family val="2"/>
      </rPr>
      <t xml:space="preserve">篇期刊、</t>
    </r>
    <r>
      <rPr>
        <sz val="10"/>
        <rFont val="Arial"/>
        <family val="0"/>
        <charset val="1"/>
      </rPr>
      <t xml:space="preserve">4 </t>
    </r>
    <r>
      <rPr>
        <sz val="10"/>
        <rFont val="WenQuanYi Zen Hei"/>
        <family val="2"/>
      </rPr>
      <t xml:space="preserve">份政策，以及 </t>
    </r>
    <r>
      <rPr>
        <sz val="10"/>
        <rFont val="Arial"/>
        <family val="0"/>
        <charset val="1"/>
      </rPr>
      <t xml:space="preserve">3 </t>
    </r>
    <r>
      <rPr>
        <sz val="10"/>
        <rFont val="WenQuanYi Zen Hei"/>
        <family val="2"/>
      </rPr>
      <t xml:space="preserve">篇“正文引用但 </t>
    </r>
    <r>
      <rPr>
        <sz val="10"/>
        <rFont val="Arial"/>
        <family val="0"/>
        <charset val="1"/>
      </rPr>
      <t xml:space="preserve">References </t>
    </r>
    <r>
      <rPr>
        <sz val="10"/>
        <rFont val="WenQuanYi Zen Hei"/>
        <family val="2"/>
      </rPr>
      <t xml:space="preserve">缺条目”的文献，逐篇给出处理决定。</t>
    </r>
  </si>
  <si>
    <r>
      <rPr>
        <sz val="10"/>
        <rFont val="Arial"/>
        <family val="0"/>
        <charset val="1"/>
      </rPr>
      <t xml:space="preserve">4_</t>
    </r>
    <r>
      <rPr>
        <sz val="10"/>
        <rFont val="WenQuanYi Zen Hei"/>
        <family val="2"/>
      </rPr>
      <t xml:space="preserve">删除清单：要整篇删的文献，以及要删的句子和段落。</t>
    </r>
  </si>
  <si>
    <r>
      <rPr>
        <sz val="10"/>
        <rFont val="Arial"/>
        <family val="0"/>
        <charset val="1"/>
      </rPr>
      <t xml:space="preserve">5_</t>
    </r>
    <r>
      <rPr>
        <sz val="10"/>
        <rFont val="WenQuanYi Zen Hei"/>
        <family val="2"/>
      </rPr>
      <t xml:space="preserve">新增文献：加拿大、安省、多伦多的候选文献 </t>
    </r>
    <r>
      <rPr>
        <sz val="10"/>
        <rFont val="Arial"/>
        <family val="0"/>
        <charset val="1"/>
      </rPr>
      <t xml:space="preserve">(</t>
    </r>
    <r>
      <rPr>
        <sz val="10"/>
        <rFont val="WenQuanYi Zen Hei"/>
        <family val="2"/>
      </rPr>
      <t xml:space="preserve">已核对书目信息</t>
    </r>
    <r>
      <rPr>
        <sz val="10"/>
        <rFont val="Arial"/>
        <family val="0"/>
        <charset val="1"/>
      </rPr>
      <t xml:space="preserve">)</t>
    </r>
    <r>
      <rPr>
        <sz val="10"/>
        <rFont val="WenQuanYi Zen Hei"/>
        <family val="2"/>
      </rPr>
      <t xml:space="preserve">，标明放在哪个主题、优先级和核验程度。</t>
    </r>
  </si>
  <si>
    <r>
      <rPr>
        <sz val="10"/>
        <rFont val="Arial"/>
        <family val="0"/>
        <charset val="1"/>
      </rPr>
      <t xml:space="preserve">6_</t>
    </r>
    <r>
      <rPr>
        <sz val="10"/>
        <rFont val="WenQuanYi Zen Hei"/>
        <family val="2"/>
      </rPr>
      <t xml:space="preserve">清单自查：教授三张清单逐项对照当前稿件。</t>
    </r>
  </si>
  <si>
    <r>
      <rPr>
        <sz val="10"/>
        <rFont val="Arial"/>
        <family val="0"/>
        <charset val="1"/>
      </rPr>
      <t xml:space="preserve">7_</t>
    </r>
    <r>
      <rPr>
        <sz val="10"/>
        <rFont val="WenQuanYi Zen Hei"/>
        <family val="2"/>
      </rPr>
      <t xml:space="preserve">数量核对：用公式自动统计保留后的原始研究、政策文件和总数，并对照作业要求 </t>
    </r>
    <r>
      <rPr>
        <sz val="10"/>
        <rFont val="Arial"/>
        <family val="0"/>
        <charset val="1"/>
      </rPr>
      <t xml:space="preserve">(≥8 / ≥4 / ≥12)</t>
    </r>
    <r>
      <rPr>
        <sz val="10"/>
        <rFont val="WenQuanYi Zen Hei"/>
        <family val="2"/>
      </rPr>
      <t xml:space="preserve">。</t>
    </r>
  </si>
  <si>
    <r>
      <rPr>
        <sz val="10"/>
        <rFont val="Arial"/>
        <family val="0"/>
        <charset val="1"/>
      </rPr>
      <t xml:space="preserve">8_</t>
    </r>
    <r>
      <rPr>
        <sz val="10"/>
        <rFont val="WenQuanYi Zen Hei"/>
        <family val="2"/>
      </rPr>
      <t xml:space="preserve">引用分布：计划保留的来源在 </t>
    </r>
    <r>
      <rPr>
        <sz val="10"/>
        <rFont val="Arial"/>
        <family val="0"/>
        <charset val="1"/>
      </rPr>
      <t xml:space="preserve">Intro</t>
    </r>
    <r>
      <rPr>
        <sz val="10"/>
        <rFont val="WenQuanYi Zen Hei"/>
        <family val="2"/>
      </rPr>
      <t xml:space="preserve">、</t>
    </r>
    <r>
      <rPr>
        <sz val="10"/>
        <rFont val="Arial"/>
        <family val="0"/>
        <charset val="1"/>
      </rPr>
      <t xml:space="preserve">Theme 1/2/3</t>
    </r>
    <r>
      <rPr>
        <sz val="10"/>
        <rFont val="WenQuanYi Zen Hei"/>
        <family val="2"/>
      </rPr>
      <t xml:space="preserve">、</t>
    </r>
    <r>
      <rPr>
        <sz val="10"/>
        <rFont val="Arial"/>
        <family val="0"/>
        <charset val="1"/>
      </rPr>
      <t xml:space="preserve">Conclusion </t>
    </r>
    <r>
      <rPr>
        <sz val="10"/>
        <rFont val="WenQuanYi Zen Hei"/>
        <family val="2"/>
      </rPr>
      <t xml:space="preserve">中的分布，检查每个主题是否都有加拿大锚点。</t>
    </r>
  </si>
  <si>
    <t xml:space="preserve">颜色</t>
  </si>
  <si>
    <r>
      <rPr>
        <sz val="10"/>
        <rFont val="WenQuanYi Zen Hei"/>
        <family val="2"/>
      </rPr>
      <t xml:space="preserve">绿色 </t>
    </r>
    <r>
      <rPr>
        <sz val="10"/>
        <rFont val="Arial"/>
        <family val="0"/>
        <charset val="1"/>
      </rPr>
      <t xml:space="preserve">= </t>
    </r>
    <r>
      <rPr>
        <sz val="10"/>
        <rFont val="WenQuanYi Zen Hei"/>
        <family val="2"/>
      </rPr>
      <t xml:space="preserve">保留</t>
    </r>
    <r>
      <rPr>
        <sz val="10"/>
        <rFont val="Arial"/>
        <family val="0"/>
        <charset val="1"/>
      </rPr>
      <t xml:space="preserve">·</t>
    </r>
    <r>
      <rPr>
        <sz val="10"/>
        <rFont val="WenQuanYi Zen Hei"/>
        <family val="2"/>
      </rPr>
      <t xml:space="preserve">核心｜黄色 </t>
    </r>
    <r>
      <rPr>
        <sz val="10"/>
        <rFont val="Arial"/>
        <family val="0"/>
        <charset val="1"/>
      </rPr>
      <t xml:space="preserve">= </t>
    </r>
    <r>
      <rPr>
        <sz val="10"/>
        <rFont val="WenQuanYi Zen Hei"/>
        <family val="2"/>
      </rPr>
      <t xml:space="preserve">保留但压缩或改用途｜红色 </t>
    </r>
    <r>
      <rPr>
        <sz val="10"/>
        <rFont val="Arial"/>
        <family val="0"/>
        <charset val="1"/>
      </rPr>
      <t xml:space="preserve">= </t>
    </r>
    <r>
      <rPr>
        <sz val="10"/>
        <rFont val="WenQuanYi Zen Hei"/>
        <family val="2"/>
      </rPr>
      <t xml:space="preserve">删除｜灰色 </t>
    </r>
    <r>
      <rPr>
        <sz val="10"/>
        <rFont val="Arial"/>
        <family val="0"/>
        <charset val="1"/>
      </rPr>
      <t xml:space="preserve">= </t>
    </r>
    <r>
      <rPr>
        <sz val="10"/>
        <rFont val="WenQuanYi Zen Hei"/>
        <family val="2"/>
      </rPr>
      <t xml:space="preserve">待核或待定｜蓝色 </t>
    </r>
    <r>
      <rPr>
        <sz val="10"/>
        <rFont val="Arial"/>
        <family val="0"/>
        <charset val="1"/>
      </rPr>
      <t xml:space="preserve">= </t>
    </r>
    <r>
      <rPr>
        <sz val="10"/>
        <rFont val="WenQuanYi Zen Hei"/>
        <family val="2"/>
      </rPr>
      <t xml:space="preserve">建议新增</t>
    </r>
  </si>
  <si>
    <r>
      <rPr>
        <b val="true"/>
        <sz val="10"/>
        <rFont val="WenQuanYi Zen Hei"/>
        <family val="2"/>
      </rPr>
      <t xml:space="preserve">核验规则 </t>
    </r>
    <r>
      <rPr>
        <b val="true"/>
        <sz val="10"/>
        <rFont val="Arial"/>
        <family val="0"/>
        <charset val="1"/>
      </rPr>
      <t xml:space="preserve">(CLAUDE.md)</t>
    </r>
  </si>
  <si>
    <r>
      <rPr>
        <sz val="10"/>
        <rFont val="Arial"/>
        <family val="0"/>
        <charset val="1"/>
      </rPr>
      <t xml:space="preserve">NO SOURCE → NO CLAIM</t>
    </r>
    <r>
      <rPr>
        <sz val="10"/>
        <rFont val="WenQuanYi Zen Hei"/>
        <family val="2"/>
      </rPr>
      <t xml:space="preserve">；页码只写 </t>
    </r>
    <r>
      <rPr>
        <sz val="10"/>
        <rFont val="Arial"/>
        <family val="0"/>
        <charset val="1"/>
      </rPr>
      <t xml:space="preserve">PDF </t>
    </r>
    <r>
      <rPr>
        <sz val="10"/>
        <rFont val="WenQuanYi Zen Hei"/>
        <family val="2"/>
      </rPr>
      <t xml:space="preserve">中核对过的。“页码待核”“全文未读”的条目，交稿前必须打开原文确认。新增文献的页码一律未核，读全文后再写。</t>
    </r>
  </si>
  <si>
    <r>
      <rPr>
        <sz val="10"/>
        <rFont val="WenQuanYi Zen Hei"/>
        <family val="2"/>
      </rPr>
      <t xml:space="preserve">印刷页 ≠ </t>
    </r>
    <r>
      <rPr>
        <sz val="10"/>
        <rFont val="Arial"/>
        <family val="0"/>
        <charset val="1"/>
      </rPr>
      <t xml:space="preserve">PDF </t>
    </r>
    <r>
      <rPr>
        <sz val="10"/>
        <rFont val="WenQuanYi Zen Hei"/>
        <family val="2"/>
      </rPr>
      <t xml:space="preserve">页：</t>
    </r>
    <r>
      <rPr>
        <sz val="10"/>
        <rFont val="Arial"/>
        <family val="0"/>
        <charset val="1"/>
      </rPr>
      <t xml:space="preserve">Loudová</t>
    </r>
    <r>
      <rPr>
        <sz val="10"/>
        <rFont val="WenQuanYi Zen Hei"/>
        <family val="2"/>
      </rPr>
      <t xml:space="preserve">、</t>
    </r>
    <r>
      <rPr>
        <sz val="10"/>
        <rFont val="Arial"/>
        <family val="0"/>
        <charset val="1"/>
      </rPr>
      <t xml:space="preserve">Papakosma</t>
    </r>
    <r>
      <rPr>
        <sz val="10"/>
        <rFont val="WenQuanYi Zen Hei"/>
        <family val="2"/>
      </rPr>
      <t xml:space="preserve">、</t>
    </r>
    <r>
      <rPr>
        <sz val="10"/>
        <rFont val="Arial"/>
        <family val="0"/>
        <charset val="1"/>
      </rPr>
      <t xml:space="preserve">Fakhari 2023 </t>
    </r>
    <r>
      <rPr>
        <sz val="10"/>
        <rFont val="WenQuanYi Zen Hei"/>
        <family val="2"/>
      </rPr>
      <t xml:space="preserve">的印刷页 </t>
    </r>
    <r>
      <rPr>
        <sz val="10"/>
        <rFont val="Arial"/>
        <family val="0"/>
        <charset val="1"/>
      </rPr>
      <t xml:space="preserve">= PDF </t>
    </r>
    <r>
      <rPr>
        <sz val="10"/>
        <rFont val="WenQuanYi Zen Hei"/>
        <family val="2"/>
      </rPr>
      <t xml:space="preserve">页 − </t>
    </r>
    <r>
      <rPr>
        <sz val="10"/>
        <rFont val="Arial"/>
        <family val="0"/>
        <charset val="1"/>
      </rPr>
      <t xml:space="preserve">1</t>
    </r>
    <r>
      <rPr>
        <sz val="10"/>
        <rFont val="WenQuanYi Zen Hei"/>
        <family val="2"/>
      </rPr>
      <t xml:space="preserve">；</t>
    </r>
    <r>
      <rPr>
        <sz val="10"/>
        <rFont val="Arial"/>
        <family val="0"/>
        <charset val="1"/>
      </rPr>
      <t xml:space="preserve">Heinz, Bell </t>
    </r>
    <r>
      <rPr>
        <sz val="10"/>
        <rFont val="WenQuanYi Zen Hei"/>
        <family val="2"/>
      </rPr>
      <t xml:space="preserve">的印刷页 </t>
    </r>
    <r>
      <rPr>
        <sz val="10"/>
        <rFont val="Arial"/>
        <family val="0"/>
        <charset val="1"/>
      </rPr>
      <t xml:space="preserve">= PDF </t>
    </r>
    <r>
      <rPr>
        <sz val="10"/>
        <rFont val="WenQuanYi Zen Hei"/>
        <family val="2"/>
      </rPr>
      <t xml:space="preserve">页 </t>
    </r>
    <r>
      <rPr>
        <sz val="10"/>
        <rFont val="Arial"/>
        <family val="0"/>
        <charset val="1"/>
      </rPr>
      <t xml:space="preserve">+ 392</t>
    </r>
    <r>
      <rPr>
        <sz val="10"/>
        <rFont val="WenQuanYi Zen Hei"/>
        <family val="2"/>
      </rPr>
      <t xml:space="preserve">；</t>
    </r>
    <r>
      <rPr>
        <sz val="10"/>
        <rFont val="Arial"/>
        <family val="0"/>
        <charset val="1"/>
      </rPr>
      <t xml:space="preserve">Miles </t>
    </r>
    <r>
      <rPr>
        <sz val="10"/>
        <rFont val="WenQuanYi Zen Hei"/>
        <family val="2"/>
      </rPr>
      <t xml:space="preserve">的印刷页 </t>
    </r>
    <r>
      <rPr>
        <sz val="10"/>
        <rFont val="Arial"/>
        <family val="0"/>
        <charset val="1"/>
      </rPr>
      <t xml:space="preserve">= PDF </t>
    </r>
    <r>
      <rPr>
        <sz val="10"/>
        <rFont val="WenQuanYi Zen Hei"/>
        <family val="2"/>
      </rPr>
      <t xml:space="preserve">页 </t>
    </r>
    <r>
      <rPr>
        <sz val="10"/>
        <rFont val="Arial"/>
        <family val="0"/>
        <charset val="1"/>
      </rPr>
      <t xml:space="preserve">+ 184</t>
    </r>
    <r>
      <rPr>
        <sz val="10"/>
        <rFont val="WenQuanYi Zen Hei"/>
        <family val="2"/>
      </rPr>
      <t xml:space="preserve">。</t>
    </r>
  </si>
  <si>
    <t xml:space="preserve">最重要的三件事</t>
  </si>
  <si>
    <r>
      <rPr>
        <sz val="10"/>
        <rFont val="Arial"/>
        <family val="0"/>
        <charset val="1"/>
      </rPr>
      <t xml:space="preserve">1. </t>
    </r>
    <r>
      <rPr>
        <sz val="10"/>
        <rFont val="WenQuanYi Zen Hei"/>
        <family val="2"/>
      </rPr>
      <t xml:space="preserve">论点换了：从“政策 → 机构 → 家庭 → 教育者”改为“新移民家庭缺乏细致的理解 → 限制使用和受益”。三个主题：理解不足 </t>
    </r>
    <r>
      <rPr>
        <sz val="10"/>
        <rFont val="Arial"/>
        <family val="0"/>
        <charset val="1"/>
      </rPr>
      <t xml:space="preserve">/ </t>
    </r>
    <r>
      <rPr>
        <sz val="10"/>
        <rFont val="WenQuanYi Zen Hei"/>
        <family val="2"/>
      </rPr>
      <t xml:space="preserve">需要中介支持 </t>
    </r>
    <r>
      <rPr>
        <sz val="10"/>
        <rFont val="Arial"/>
        <family val="0"/>
        <charset val="1"/>
      </rPr>
      <t xml:space="preserve">/ </t>
    </r>
    <r>
      <rPr>
        <sz val="10"/>
        <rFont val="WenQuanYi Zen Hei"/>
        <family val="2"/>
      </rPr>
      <t xml:space="preserve">需要文化回应的服务。</t>
    </r>
  </si>
  <si>
    <r>
      <rPr>
        <sz val="10"/>
        <rFont val="Arial"/>
        <family val="0"/>
        <charset val="1"/>
      </rPr>
      <t xml:space="preserve">2. </t>
    </r>
    <r>
      <rPr>
        <sz val="10"/>
        <rFont val="WenQuanYi Zen Hei"/>
        <family val="2"/>
      </rPr>
      <t xml:space="preserve">少点国家名，多回到加拿大和安省：教授没有要求大换文献 </t>
    </r>
    <r>
      <rPr>
        <sz val="10"/>
        <rFont val="Arial"/>
        <family val="0"/>
        <charset val="1"/>
      </rPr>
      <t xml:space="preserve">(47:49–48:46)</t>
    </r>
    <r>
      <rPr>
        <sz val="10"/>
        <rFont val="WenQuanYi Zen Hei"/>
        <family val="2"/>
      </rPr>
      <t xml:space="preserve">，但每个主题至少要有一个加拿大锚点。</t>
    </r>
  </si>
  <si>
    <r>
      <rPr>
        <sz val="10"/>
        <rFont val="Arial"/>
        <family val="0"/>
        <charset val="1"/>
      </rPr>
      <t xml:space="preserve">3. </t>
    </r>
    <r>
      <rPr>
        <sz val="10"/>
        <rFont val="WenQuanYi Zen Hei"/>
        <family val="2"/>
      </rPr>
      <t xml:space="preserve">正文 ≤ </t>
    </r>
    <r>
      <rPr>
        <sz val="10"/>
        <rFont val="Arial"/>
        <family val="0"/>
        <charset val="1"/>
      </rPr>
      <t xml:space="preserve">5 </t>
    </r>
    <r>
      <rPr>
        <sz val="10"/>
        <rFont val="WenQuanYi Zen Hei"/>
        <family val="2"/>
      </rPr>
      <t xml:space="preserve">页、语言正式：删掉全部红字口语版本，结论重写。</t>
    </r>
  </si>
  <si>
    <r>
      <rPr>
        <sz val="10"/>
        <rFont val="Arial"/>
        <family val="0"/>
        <charset val="1"/>
      </rPr>
      <t xml:space="preserve">4. </t>
    </r>
    <r>
      <rPr>
        <sz val="10"/>
        <rFont val="WenQuanYi Zen Hei"/>
        <family val="2"/>
      </rPr>
      <t xml:space="preserve">篇幅控制：每个主题实际只用 </t>
    </r>
    <r>
      <rPr>
        <sz val="10"/>
        <rFont val="Arial"/>
        <family val="0"/>
        <charset val="1"/>
      </rPr>
      <t xml:space="preserve">3–5 </t>
    </r>
    <r>
      <rPr>
        <sz val="10"/>
        <rFont val="WenQuanYi Zen Hei"/>
        <family val="2"/>
      </rPr>
      <t xml:space="preserve">个来源 </t>
    </r>
    <r>
      <rPr>
        <sz val="10"/>
        <rFont val="Arial"/>
        <family val="0"/>
        <charset val="1"/>
      </rPr>
      <t xml:space="preserve">(“8_</t>
    </r>
    <r>
      <rPr>
        <sz val="10"/>
        <rFont val="WenQuanYi Zen Hei"/>
        <family val="2"/>
      </rPr>
      <t xml:space="preserve">引用分布”列的是可用来源，不是都要用</t>
    </r>
    <r>
      <rPr>
        <sz val="10"/>
        <rFont val="Arial"/>
        <family val="0"/>
        <charset val="1"/>
      </rPr>
      <t xml:space="preserve">)</t>
    </r>
    <r>
      <rPr>
        <sz val="10"/>
        <rFont val="WenQuanYi Zen Hei"/>
        <family val="2"/>
      </rPr>
      <t xml:space="preserve">。先用加拿大来源，国际研究按观点合并引用、不点名国家。</t>
    </r>
  </si>
  <si>
    <t xml:space="preserve">本次检索的限制</t>
  </si>
  <si>
    <r>
      <rPr>
        <sz val="10"/>
        <rFont val="WenQuanYi Zen Hei"/>
        <family val="2"/>
      </rPr>
      <t xml:space="preserve">网络代理拦截了所有出版社和数据库页面，新增文献只核到检索摘要片段 </t>
    </r>
    <r>
      <rPr>
        <sz val="10"/>
        <rFont val="Arial"/>
        <family val="0"/>
        <charset val="1"/>
      </rPr>
      <t xml:space="preserve">(Brown 2020</t>
    </r>
    <r>
      <rPr>
        <sz val="10"/>
        <rFont val="WenQuanYi Zen Hei"/>
        <family val="2"/>
      </rPr>
      <t xml:space="preserve">、</t>
    </r>
    <r>
      <rPr>
        <sz val="10"/>
        <rFont val="Arial"/>
        <family val="0"/>
        <charset val="1"/>
      </rPr>
      <t xml:space="preserve">Poureslami 2013</t>
    </r>
    <r>
      <rPr>
        <sz val="10"/>
        <rFont val="WenQuanYi Zen Hei"/>
        <family val="2"/>
      </rPr>
      <t xml:space="preserve">、</t>
    </r>
    <r>
      <rPr>
        <sz val="10"/>
        <rFont val="Arial"/>
        <family val="0"/>
        <charset val="1"/>
      </rPr>
      <t xml:space="preserve">Jang 2020 </t>
    </r>
    <r>
      <rPr>
        <sz val="10"/>
        <rFont val="WenQuanYi Zen Hei"/>
        <family val="2"/>
      </rPr>
      <t xml:space="preserve">的书目已在 </t>
    </r>
    <r>
      <rPr>
        <sz val="10"/>
        <rFont val="Arial"/>
        <family val="0"/>
        <charset val="1"/>
      </rPr>
      <t xml:space="preserve">PDF </t>
    </r>
    <r>
      <rPr>
        <sz val="10"/>
        <rFont val="WenQuanYi Zen Hei"/>
        <family val="2"/>
      </rPr>
      <t xml:space="preserve">参考文献里逐字核对</t>
    </r>
    <r>
      <rPr>
        <sz val="10"/>
        <rFont val="Arial"/>
        <family val="0"/>
        <charset val="1"/>
      </rPr>
      <t xml:space="preserve">)</t>
    </r>
    <r>
      <rPr>
        <sz val="10"/>
        <rFont val="WenQuanYi Zen Hei"/>
        <family val="2"/>
      </rPr>
      <t xml:space="preserve">。本轮网页检索额度已用完；如需继续核对，发下一条消息即可。</t>
    </r>
  </si>
  <si>
    <t xml:space="preserve">编号</t>
  </si>
  <si>
    <r>
      <rPr>
        <b val="true"/>
        <sz val="10"/>
        <color rgb="FFFFFFFF"/>
        <rFont val="WenQuanYi Zen Hei"/>
        <family val="2"/>
      </rPr>
      <t xml:space="preserve">时间点 </t>
    </r>
    <r>
      <rPr>
        <b val="true"/>
        <sz val="10"/>
        <color rgb="FFFFFFFF"/>
        <rFont val="Arial"/>
        <family val="0"/>
        <charset val="1"/>
      </rPr>
      <t xml:space="preserve">/ </t>
    </r>
    <r>
      <rPr>
        <b val="true"/>
        <sz val="10"/>
        <color rgb="FFFFFFFF"/>
        <rFont val="WenQuanYi Zen Hei"/>
        <family val="2"/>
      </rPr>
      <t xml:space="preserve">批注</t>
    </r>
  </si>
  <si>
    <t xml:space="preserve">草稿位置</t>
  </si>
  <si>
    <r>
      <rPr>
        <b val="true"/>
        <sz val="10"/>
        <color rgb="FFFFFFFF"/>
        <rFont val="WenQuanYi Zen Hei"/>
        <family val="2"/>
      </rPr>
      <t xml:space="preserve">教授原话 </t>
    </r>
    <r>
      <rPr>
        <b val="true"/>
        <sz val="10"/>
        <color rgb="FFFFFFFF"/>
        <rFont val="Arial"/>
        <family val="0"/>
        <charset val="1"/>
      </rPr>
      <t xml:space="preserve">(English, </t>
    </r>
    <r>
      <rPr>
        <b val="true"/>
        <sz val="10"/>
        <color rgb="FFFFFFFF"/>
        <rFont val="WenQuanYi Zen Hei"/>
        <family val="2"/>
      </rPr>
      <t xml:space="preserve">转录原文</t>
    </r>
    <r>
      <rPr>
        <b val="true"/>
        <sz val="10"/>
        <color rgb="FFFFFFFF"/>
        <rFont val="Arial"/>
        <family val="0"/>
        <charset val="1"/>
      </rPr>
      <t xml:space="preserve">)</t>
    </r>
  </si>
  <si>
    <t xml:space="preserve">中文解读</t>
  </si>
  <si>
    <r>
      <rPr>
        <b val="true"/>
        <sz val="10"/>
        <color rgb="FFFFFFFF"/>
        <rFont val="WenQuanYi Zen Hei"/>
        <family val="2"/>
      </rPr>
      <t xml:space="preserve">修改方案 </t>
    </r>
    <r>
      <rPr>
        <b val="true"/>
        <sz val="10"/>
        <color rgb="FFFFFFFF"/>
        <rFont val="Arial"/>
        <family val="0"/>
        <charset val="1"/>
      </rPr>
      <t xml:space="preserve">(</t>
    </r>
    <r>
      <rPr>
        <b val="true"/>
        <sz val="10"/>
        <color rgb="FFFFFFFF"/>
        <rFont val="WenQuanYi Zen Hei"/>
        <family val="2"/>
      </rPr>
      <t xml:space="preserve">具体做法</t>
    </r>
    <r>
      <rPr>
        <b val="true"/>
        <sz val="10"/>
        <color rgb="FFFFFFFF"/>
        <rFont val="Arial"/>
        <family val="0"/>
        <charset val="1"/>
      </rPr>
      <t xml:space="preserve">)</t>
    </r>
  </si>
  <si>
    <t xml:space="preserve">优先级</t>
  </si>
  <si>
    <t xml:space="preserve">涉及文献</t>
  </si>
  <si>
    <t xml:space="preserve">F01</t>
  </si>
  <si>
    <t xml:space="preserve">10:48</t>
  </si>
  <si>
    <t xml:space="preserve">全文红字口语句</t>
  </si>
  <si>
    <t xml:space="preserve">"I need you to use more formal language here."</t>
  </si>
  <si>
    <r>
      <rPr>
        <sz val="10"/>
        <rFont val="WenQuanYi Zen Hei"/>
        <family val="2"/>
      </rPr>
      <t xml:space="preserve">红字版本 </t>
    </r>
    <r>
      <rPr>
        <sz val="10"/>
        <rFont val="Arial"/>
        <family val="0"/>
        <charset val="1"/>
      </rPr>
      <t xml:space="preserve">(So..., pretty widespread, the exact same pattern, doesn't even have, ---) </t>
    </r>
    <r>
      <rPr>
        <sz val="10"/>
        <rFont val="WenQuanYi Zen Hei"/>
        <family val="2"/>
      </rPr>
      <t xml:space="preserve">不是学术语体。</t>
    </r>
  </si>
  <si>
    <r>
      <rPr>
        <sz val="10"/>
        <rFont val="WenQuanYi Zen Hei"/>
        <family val="2"/>
      </rPr>
      <t xml:space="preserve">删除全部红字口语句；以已划线的正式版本为底稿，按新论点改写。不用缩写 </t>
    </r>
    <r>
      <rPr>
        <sz val="10"/>
        <rFont val="Arial"/>
        <family val="0"/>
        <charset val="1"/>
      </rPr>
      <t xml:space="preserve">(don't, can't)</t>
    </r>
    <r>
      <rPr>
        <sz val="10"/>
        <rFont val="WenQuanYi Zen Hei"/>
        <family val="2"/>
      </rPr>
      <t xml:space="preserve">，不用破折号。</t>
    </r>
  </si>
  <si>
    <t xml:space="preserve">必改</t>
  </si>
  <si>
    <t xml:space="preserve">全部</t>
  </si>
  <si>
    <t xml:space="preserve">F02</t>
  </si>
  <si>
    <t xml:space="preserve">11:09-11:24</t>
  </si>
  <si>
    <t xml:space="preserve">Introduction: "This is especially important for newcomer families in Toronto because there are more newcomer children..."</t>
  </si>
  <si>
    <t xml:space="preserve">"If you're saying this is especially important for newcomer families, you need a source."</t>
  </si>
  <si>
    <t xml:space="preserve">无来源的判断句。</t>
  </si>
  <si>
    <r>
      <rPr>
        <sz val="10"/>
        <rFont val="WenQuanYi Zen Hei"/>
        <family val="2"/>
      </rPr>
      <t xml:space="preserve">加引用 </t>
    </r>
    <r>
      <rPr>
        <sz val="10"/>
        <rFont val="Arial"/>
        <family val="0"/>
        <charset val="1"/>
      </rPr>
      <t xml:space="preserve">Toronto Children's Services (2025, p. 27)</t>
    </r>
    <r>
      <rPr>
        <sz val="10"/>
        <rFont val="WenQuanYi Zen Hei"/>
        <family val="2"/>
      </rPr>
      <t xml:space="preserve">：</t>
    </r>
    <r>
      <rPr>
        <sz val="10"/>
        <rFont val="Arial"/>
        <family val="0"/>
        <charset val="1"/>
      </rPr>
      <t xml:space="preserve">newcomer children are Toronto's fastest-growing child population</t>
    </r>
    <r>
      <rPr>
        <sz val="10"/>
        <rFont val="WenQuanYi Zen Hei"/>
        <family val="2"/>
      </rPr>
      <t xml:space="preserve">；或删去此句。</t>
    </r>
  </si>
  <si>
    <t xml:space="preserve">Toronto Children's Services (2025)</t>
  </si>
  <si>
    <t xml:space="preserve">F03</t>
  </si>
  <si>
    <t xml:space="preserve">12:31</t>
  </si>
  <si>
    <r>
      <rPr>
        <sz val="10"/>
        <rFont val="Arial"/>
        <family val="0"/>
        <charset val="1"/>
      </rPr>
      <t xml:space="preserve">Introduction </t>
    </r>
    <r>
      <rPr>
        <sz val="10"/>
        <rFont val="WenQuanYi Zen Hei"/>
        <family val="2"/>
      </rPr>
      <t xml:space="preserve">及全文</t>
    </r>
  </si>
  <si>
    <t xml:space="preserve">"So just standardize your punctuation too, right?"</t>
  </si>
  <si>
    <t xml:space="preserve">标点不统一。</t>
  </si>
  <si>
    <r>
      <rPr>
        <sz val="10"/>
        <rFont val="WenQuanYi Zen Hei"/>
        <family val="2"/>
      </rPr>
      <t xml:space="preserve">统一：页码范围用 </t>
    </r>
    <r>
      <rPr>
        <sz val="10"/>
        <rFont val="Arial"/>
        <family val="0"/>
        <charset val="1"/>
      </rPr>
      <t xml:space="preserve">en dash (pp. 75–78)</t>
    </r>
    <r>
      <rPr>
        <sz val="10"/>
        <rFont val="WenQuanYi Zen Hei"/>
        <family val="2"/>
      </rPr>
      <t xml:space="preserve">；引号统一；不用破折号；修正 </t>
    </r>
    <r>
      <rPr>
        <sz val="10"/>
        <rFont val="Arial"/>
        <family val="0"/>
        <charset val="1"/>
      </rPr>
      <t xml:space="preserve">"Canada.The" </t>
    </r>
    <r>
      <rPr>
        <sz val="10"/>
        <rFont val="WenQuanYi Zen Hei"/>
        <family val="2"/>
      </rPr>
      <t xml:space="preserve">一类缺空格。</t>
    </r>
  </si>
  <si>
    <t xml:space="preserve">—</t>
  </si>
  <si>
    <t xml:space="preserve">F04</t>
  </si>
  <si>
    <t xml:space="preserve">12:42-14:31</t>
  </si>
  <si>
    <r>
      <rPr>
        <sz val="10"/>
        <rFont val="Arial"/>
        <family val="0"/>
        <charset val="1"/>
      </rPr>
      <t xml:space="preserve">Introduction </t>
    </r>
    <r>
      <rPr>
        <sz val="10"/>
        <rFont val="WenQuanYi Zen Hei"/>
        <family val="2"/>
      </rPr>
      <t xml:space="preserve">目的句 </t>
    </r>
    <r>
      <rPr>
        <sz val="10"/>
        <rFont val="Arial"/>
        <family val="0"/>
        <charset val="1"/>
      </rPr>
      <t xml:space="preserve">"examines how policies are understood and implemented"</t>
    </r>
  </si>
  <si>
    <t xml:space="preserve">"This is not what you're planning to do... it's how newcomer families access... how access is translated to their usage... You're not focused on understanding, you're focused on usage."</t>
  </si>
  <si>
    <r>
      <rPr>
        <sz val="10"/>
        <rFont val="WenQuanYi Zen Hei"/>
        <family val="2"/>
      </rPr>
      <t xml:space="preserve">研究目的写成了政策执行研究，偏离家庭层面的 </t>
    </r>
    <r>
      <rPr>
        <sz val="10"/>
        <rFont val="Arial"/>
        <family val="0"/>
        <charset val="1"/>
      </rPr>
      <t xml:space="preserve">access → use</t>
    </r>
    <r>
      <rPr>
        <sz val="10"/>
        <rFont val="WenQuanYi Zen Hei"/>
        <family val="2"/>
      </rPr>
      <t xml:space="preserve">。</t>
    </r>
  </si>
  <si>
    <r>
      <rPr>
        <sz val="10"/>
        <rFont val="WenQuanYi Zen Hei"/>
        <family val="2"/>
      </rPr>
      <t xml:space="preserve">删去 </t>
    </r>
    <r>
      <rPr>
        <sz val="10"/>
        <rFont val="Arial"/>
        <family val="0"/>
        <charset val="1"/>
      </rPr>
      <t xml:space="preserve">policy understood / implemented </t>
    </r>
    <r>
      <rPr>
        <sz val="10"/>
        <rFont val="WenQuanYi Zen Hei"/>
        <family val="2"/>
      </rPr>
      <t xml:space="preserve">类目的句；目的句改为家庭层面：</t>
    </r>
    <r>
      <rPr>
        <sz val="10"/>
        <rFont val="Arial"/>
        <family val="0"/>
        <charset val="1"/>
      </rPr>
      <t xml:space="preserve">newcomer families' understanding and use of services</t>
    </r>
    <r>
      <rPr>
        <sz val="10"/>
        <rFont val="WenQuanYi Zen Hei"/>
        <family val="2"/>
      </rPr>
      <t xml:space="preserve">。</t>
    </r>
  </si>
  <si>
    <t xml:space="preserve">Gov. of Canada &amp; Ontario (2022)</t>
  </si>
  <si>
    <t xml:space="preserve">F05</t>
  </si>
  <si>
    <t xml:space="preserve">15:12-15:20</t>
  </si>
  <si>
    <r>
      <rPr>
        <sz val="10"/>
        <rFont val="Arial"/>
        <family val="0"/>
        <charset val="1"/>
      </rPr>
      <t xml:space="preserve">Introduction </t>
    </r>
    <r>
      <rPr>
        <sz val="10"/>
        <rFont val="WenQuanYi Zen Hei"/>
        <family val="2"/>
      </rPr>
      <t xml:space="preserve">背景句 </t>
    </r>
    <r>
      <rPr>
        <sz val="10"/>
        <rFont val="Arial"/>
        <family val="0"/>
        <charset val="1"/>
      </rPr>
      <t xml:space="preserve">(</t>
    </r>
    <r>
      <rPr>
        <sz val="10"/>
        <rFont val="WenQuanYi Zen Hei"/>
        <family val="2"/>
      </rPr>
      <t xml:space="preserve">教授当场删除</t>
    </r>
    <r>
      <rPr>
        <sz val="10"/>
        <rFont val="Arial"/>
        <family val="0"/>
        <charset val="1"/>
      </rPr>
      <t xml:space="preserve">)</t>
    </r>
  </si>
  <si>
    <t xml:space="preserve">"Okay, so I don't need this information... This part I don't need... This is the central thing."</t>
  </si>
  <si>
    <t xml:space="preserve">与核心问题无关的背景不要。</t>
  </si>
  <si>
    <r>
      <rPr>
        <sz val="10"/>
        <rFont val="WenQuanYi Zen Hei"/>
        <family val="2"/>
      </rPr>
      <t xml:space="preserve">引言只保留服务新论点的背景：</t>
    </r>
    <r>
      <rPr>
        <sz val="10"/>
        <rFont val="Arial"/>
        <family val="0"/>
        <charset val="1"/>
      </rPr>
      <t xml:space="preserve">CWELCC → </t>
    </r>
    <r>
      <rPr>
        <sz val="10"/>
        <rFont val="WenQuanYi Zen Hei"/>
        <family val="2"/>
      </rPr>
      <t xml:space="preserve">多伦多新移民家庭 → 理解与使用。</t>
    </r>
  </si>
  <si>
    <t xml:space="preserve">F06</t>
  </si>
  <si>
    <r>
      <rPr>
        <sz val="10"/>
        <rFont val="Arial"/>
        <family val="0"/>
        <charset val="1"/>
      </rPr>
      <t xml:space="preserve">15:20-17:19</t>
    </r>
    <r>
      <rPr>
        <sz val="10"/>
        <rFont val="WenQuanYi Zen Hei"/>
        <family val="2"/>
      </rPr>
      <t xml:space="preserve">；批注 </t>
    </r>
    <r>
      <rPr>
        <sz val="10"/>
        <rFont val="Arial"/>
        <family val="0"/>
        <charset val="1"/>
      </rPr>
      <t xml:space="preserve">#0 "what type?"</t>
    </r>
  </si>
  <si>
    <r>
      <rPr>
        <sz val="10"/>
        <rFont val="Arial"/>
        <family val="0"/>
        <charset val="1"/>
      </rPr>
      <t xml:space="preserve">Theme 1 </t>
    </r>
    <r>
      <rPr>
        <sz val="10"/>
        <rFont val="WenQuanYi Zen Hei"/>
        <family val="2"/>
      </rPr>
      <t xml:space="preserve">首句 </t>
    </r>
    <r>
      <rPr>
        <sz val="10"/>
        <rFont val="Arial"/>
        <family val="0"/>
        <charset val="1"/>
      </rPr>
      <t xml:space="preserve">"utilizing resources"</t>
    </r>
  </si>
  <si>
    <t xml:space="preserve">"And then you have to tell me what type of resources too, right?"</t>
  </si>
  <si>
    <t xml:space="preserve">资源类型没有界定。</t>
  </si>
  <si>
    <r>
      <rPr>
        <sz val="10"/>
        <rFont val="WenQuanYi Zen Hei"/>
        <family val="2"/>
      </rPr>
      <t xml:space="preserve">写明资源类型：例如 </t>
    </r>
    <r>
      <rPr>
        <sz val="10"/>
        <rFont val="Arial"/>
        <family val="0"/>
        <charset val="1"/>
      </rPr>
      <t xml:space="preserve">licensed child care and fee reductions under CWELCC, child care fee subsidies, EarlyON programs, family support resources referred through child care centres</t>
    </r>
    <r>
      <rPr>
        <sz val="10"/>
        <rFont val="WenQuanYi Zen Hei"/>
        <family val="2"/>
      </rPr>
      <t xml:space="preserve">；与 </t>
    </r>
    <r>
      <rPr>
        <sz val="10"/>
        <rFont val="Arial"/>
        <family val="0"/>
        <charset val="1"/>
      </rPr>
      <t xml:space="preserve">RQ </t>
    </r>
    <r>
      <rPr>
        <sz val="10"/>
        <rFont val="WenQuanYi Zen Hei"/>
        <family val="2"/>
      </rPr>
      <t xml:space="preserve">中 </t>
    </r>
    <r>
      <rPr>
        <sz val="10"/>
        <rFont val="Arial"/>
        <family val="0"/>
        <charset val="1"/>
      </rPr>
      <t xml:space="preserve">"family support resources" </t>
    </r>
    <r>
      <rPr>
        <sz val="10"/>
        <rFont val="WenQuanYi Zen Hei"/>
        <family val="2"/>
      </rPr>
      <t xml:space="preserve">保持一致。</t>
    </r>
  </si>
  <si>
    <t xml:space="preserve">Gov. 2022; Ontario MoE 2023; TCS 2025</t>
  </si>
  <si>
    <t xml:space="preserve">F07</t>
  </si>
  <si>
    <r>
      <rPr>
        <sz val="10"/>
        <rFont val="Arial"/>
        <family val="0"/>
        <charset val="1"/>
      </rPr>
      <t xml:space="preserve">16:27-25:15</t>
    </r>
    <r>
      <rPr>
        <sz val="10"/>
        <rFont val="WenQuanYi Zen Hei"/>
        <family val="2"/>
      </rPr>
      <t xml:space="preserve">；批注 </t>
    </r>
    <r>
      <rPr>
        <sz val="10"/>
        <rFont val="Arial"/>
        <family val="0"/>
        <charset val="1"/>
      </rPr>
      <t xml:space="preserve">#1</t>
    </r>
  </si>
  <si>
    <t xml:space="preserve">Theme 1 "they simply don't know what's out there"</t>
  </si>
  <si>
    <r>
      <rPr>
        <sz val="10"/>
        <rFont val="Arial"/>
        <family val="0"/>
        <charset val="1"/>
      </rPr>
      <t xml:space="preserve">"You're focused on people who already have access to the resources or know about them... They know what's out there, but they don't know how what's out there meet their needs." </t>
    </r>
    <r>
      <rPr>
        <sz val="10"/>
        <rFont val="WenQuanYi Zen Hei"/>
        <family val="2"/>
      </rPr>
      <t xml:space="preserve">批注：</t>
    </r>
    <r>
      <rPr>
        <sz val="10"/>
        <rFont val="Arial"/>
        <family val="0"/>
        <charset val="1"/>
      </rPr>
      <t xml:space="preserve">"So you they know what is out there but they do not know how to use them meet their needs"</t>
    </r>
  </si>
  <si>
    <t xml:space="preserve">不能写“家庭不知道有服务”；要写“知道有服务，但不了解如何用来满足自己的需要”。</t>
  </si>
  <si>
    <r>
      <rPr>
        <sz val="10"/>
        <rFont val="WenQuanYi Zen Hei"/>
        <family val="2"/>
      </rPr>
      <t xml:space="preserve">删去 </t>
    </r>
    <r>
      <rPr>
        <sz val="10"/>
        <rFont val="Arial"/>
        <family val="0"/>
        <charset val="1"/>
      </rPr>
      <t xml:space="preserve">"they simply don't know what's out there"</t>
    </r>
    <r>
      <rPr>
        <sz val="10"/>
        <rFont val="WenQuanYi Zen Hei"/>
        <family val="2"/>
      </rPr>
      <t xml:space="preserve">。改写方向：</t>
    </r>
    <r>
      <rPr>
        <sz val="10"/>
        <rFont val="Arial"/>
        <family val="0"/>
        <charset val="1"/>
      </rPr>
      <t xml:space="preserve">families may know that a service exists but lack a nuanced understanding of what it offers, whether they qualify, and how to use it to meet their needs</t>
    </r>
    <r>
      <rPr>
        <sz val="10"/>
        <rFont val="WenQuanYi Zen Hei"/>
        <family val="2"/>
      </rPr>
      <t xml:space="preserve">。</t>
    </r>
  </si>
  <si>
    <t xml:space="preserve">Burns (2025); Heinz, Bell, et al. (2025)</t>
  </si>
  <si>
    <t xml:space="preserve">F08</t>
  </si>
  <si>
    <t xml:space="preserve">19:31-20:59</t>
  </si>
  <si>
    <r>
      <rPr>
        <sz val="10"/>
        <rFont val="WenQuanYi Zen Hei"/>
        <family val="2"/>
      </rPr>
      <t xml:space="preserve">概念说明 </t>
    </r>
    <r>
      <rPr>
        <sz val="10"/>
        <rFont val="Arial"/>
        <family val="0"/>
        <charset val="1"/>
      </rPr>
      <t xml:space="preserve">(</t>
    </r>
    <r>
      <rPr>
        <sz val="10"/>
        <rFont val="WenQuanYi Zen Hei"/>
        <family val="2"/>
      </rPr>
      <t xml:space="preserve">不写进论文</t>
    </r>
    <r>
      <rPr>
        <sz val="10"/>
        <rFont val="Arial"/>
        <family val="0"/>
        <charset val="1"/>
      </rPr>
      <t xml:space="preserve">)</t>
    </r>
  </si>
  <si>
    <t xml:space="preserve">"I have access to the community center... I've never used the community center... because I don't know the type of programs that are offered and how those programs meet my needs." / computer example</t>
  </si>
  <si>
    <r>
      <rPr>
        <sz val="10"/>
        <rFont val="WenQuanYi Zen Hei"/>
        <family val="2"/>
      </rPr>
      <t xml:space="preserve">用社区中心、电脑两个例子解释 </t>
    </r>
    <r>
      <rPr>
        <sz val="10"/>
        <rFont val="Arial"/>
        <family val="0"/>
        <charset val="1"/>
      </rPr>
      <t xml:space="preserve">access ≠ use</t>
    </r>
    <r>
      <rPr>
        <sz val="10"/>
        <rFont val="WenQuanYi Zen Hei"/>
        <family val="2"/>
      </rPr>
      <t xml:space="preserve">：可得、知道 ≠ 会用来满足需要。</t>
    </r>
  </si>
  <si>
    <r>
      <rPr>
        <sz val="10"/>
        <rFont val="WenQuanYi Zen Hei"/>
        <family val="2"/>
      </rPr>
      <t xml:space="preserve">作为引言里 </t>
    </r>
    <r>
      <rPr>
        <sz val="10"/>
        <rFont val="Arial"/>
        <family val="0"/>
        <charset val="1"/>
      </rPr>
      <t xml:space="preserve">access </t>
    </r>
    <r>
      <rPr>
        <sz val="10"/>
        <rFont val="WenQuanYi Zen Hei"/>
        <family val="2"/>
      </rPr>
      <t xml:space="preserve">和 </t>
    </r>
    <r>
      <rPr>
        <sz val="10"/>
        <rFont val="Arial"/>
        <family val="0"/>
        <charset val="1"/>
      </rPr>
      <t xml:space="preserve">use </t>
    </r>
    <r>
      <rPr>
        <sz val="10"/>
        <rFont val="WenQuanYi Zen Hei"/>
        <family val="2"/>
      </rPr>
      <t xml:space="preserve">定义的思路；不要把教授的例子写进论文。</t>
    </r>
  </si>
  <si>
    <t xml:space="preserve">参考</t>
  </si>
  <si>
    <t xml:space="preserve">F09</t>
  </si>
  <si>
    <r>
      <rPr>
        <sz val="10"/>
        <rFont val="Arial"/>
        <family val="0"/>
        <charset val="1"/>
      </rPr>
      <t xml:space="preserve">25:24-26:08</t>
    </r>
    <r>
      <rPr>
        <sz val="10"/>
        <rFont val="WenQuanYi Zen Hei"/>
        <family val="2"/>
      </rPr>
      <t xml:space="preserve">；批注 </t>
    </r>
    <r>
      <rPr>
        <sz val="10"/>
        <rFont val="Arial"/>
        <family val="0"/>
        <charset val="1"/>
      </rPr>
      <t xml:space="preserve">#2</t>
    </r>
  </si>
  <si>
    <r>
      <rPr>
        <sz val="10"/>
        <rFont val="Arial"/>
        <family val="0"/>
        <charset val="1"/>
      </rPr>
      <t xml:space="preserve">Theme 1 Burns </t>
    </r>
    <r>
      <rPr>
        <sz val="10"/>
        <rFont val="WenQuanYi Zen Hei"/>
        <family val="2"/>
      </rPr>
      <t xml:space="preserve">句</t>
    </r>
  </si>
  <si>
    <r>
      <rPr>
        <sz val="10"/>
        <rFont val="Arial"/>
        <family val="0"/>
        <charset val="1"/>
      </rPr>
      <t xml:space="preserve">"This is okay because it means... even though they have heard about it, they don't understand how to use it to meet their needs... bring this point here." </t>
    </r>
    <r>
      <rPr>
        <sz val="10"/>
        <rFont val="WenQuanYi Zen Hei"/>
        <family val="2"/>
      </rPr>
      <t xml:space="preserve">批注：</t>
    </r>
    <r>
      <rPr>
        <sz val="10"/>
        <rFont val="Arial"/>
        <family val="0"/>
        <charset val="1"/>
      </rPr>
      <t xml:space="preserve">"Bring this point here to say that it will limit their understanding of how to use these to meet their needs."</t>
    </r>
  </si>
  <si>
    <r>
      <rPr>
        <sz val="10"/>
        <rFont val="Arial"/>
        <family val="0"/>
        <charset val="1"/>
      </rPr>
      <t xml:space="preserve">Burns </t>
    </r>
    <r>
      <rPr>
        <sz val="10"/>
        <rFont val="WenQuanYi Zen Hei"/>
        <family val="2"/>
      </rPr>
      <t xml:space="preserve">证据保留，但要加一句解释：信息错误或不足会限制家长理解如何使用。</t>
    </r>
  </si>
  <si>
    <r>
      <rPr>
        <sz val="10"/>
        <rFont val="Arial"/>
        <family val="0"/>
        <charset val="1"/>
      </rPr>
      <t xml:space="preserve">Burns </t>
    </r>
    <r>
      <rPr>
        <sz val="10"/>
        <rFont val="WenQuanYi Zen Hei"/>
        <family val="2"/>
      </rPr>
      <t xml:space="preserve">句后加 </t>
    </r>
    <r>
      <rPr>
        <sz val="10"/>
        <rFont val="Arial"/>
        <family val="0"/>
        <charset val="1"/>
      </rPr>
      <t xml:space="preserve">interpretation </t>
    </r>
    <r>
      <rPr>
        <sz val="10"/>
        <rFont val="WenQuanYi Zen Hei"/>
        <family val="2"/>
      </rPr>
      <t xml:space="preserve">句；同时说明 </t>
    </r>
    <r>
      <rPr>
        <sz val="10"/>
        <rFont val="Arial"/>
        <family val="0"/>
        <charset val="1"/>
      </rPr>
      <t xml:space="preserve">Burns </t>
    </r>
    <r>
      <rPr>
        <sz val="10"/>
        <rFont val="WenQuanYi Zen Hei"/>
        <family val="2"/>
      </rPr>
      <t xml:space="preserve">是一般家长样本，没有单独分析新移民家庭。</t>
    </r>
  </si>
  <si>
    <t xml:space="preserve">Burns et al. (2025, p. 73)</t>
  </si>
  <si>
    <t xml:space="preserve">F10</t>
  </si>
  <si>
    <t xml:space="preserve">26:34-27:35</t>
  </si>
  <si>
    <r>
      <rPr>
        <sz val="10"/>
        <rFont val="Arial"/>
        <family val="0"/>
        <charset val="1"/>
      </rPr>
      <t xml:space="preserve">Theme 1 New Mexico </t>
    </r>
    <r>
      <rPr>
        <sz val="10"/>
        <rFont val="WenQuanYi Zen Hei"/>
        <family val="2"/>
      </rPr>
      <t xml:space="preserve">句 </t>
    </r>
    <r>
      <rPr>
        <sz val="10"/>
        <rFont val="Arial"/>
        <family val="0"/>
        <charset val="1"/>
      </rPr>
      <t xml:space="preserve">+ "expanding a policy doesn't make parents aware"</t>
    </r>
  </si>
  <si>
    <t xml:space="preserve">"Okay, so I don't need this... this isn't really connected to your main point... And this doesn't also connect to your [point]."</t>
  </si>
  <si>
    <t xml:space="preserve">旧结论“政策扩张不等于知晓”与新论点不连接。</t>
  </si>
  <si>
    <r>
      <rPr>
        <sz val="10"/>
        <rFont val="WenQuanYi Zen Hei"/>
        <family val="2"/>
      </rPr>
      <t xml:space="preserve">删去 </t>
    </r>
    <r>
      <rPr>
        <sz val="10"/>
        <rFont val="Arial"/>
        <family val="0"/>
        <charset val="1"/>
      </rPr>
      <t xml:space="preserve">"policy expansion alone does not produce parental awareness" </t>
    </r>
    <r>
      <rPr>
        <sz val="10"/>
        <rFont val="WenQuanYi Zen Hei"/>
        <family val="2"/>
      </rPr>
      <t xml:space="preserve">一类结论。</t>
    </r>
    <r>
      <rPr>
        <sz val="10"/>
        <rFont val="Arial"/>
        <family val="0"/>
        <charset val="1"/>
      </rPr>
      <t xml:space="preserve">Heinz </t>
    </r>
    <r>
      <rPr>
        <sz val="10"/>
        <rFont val="WenQuanYi Zen Hei"/>
        <family val="2"/>
      </rPr>
      <t xml:space="preserve">证据保留，但改写成理解资格和费用的角度 </t>
    </r>
    <r>
      <rPr>
        <sz val="10"/>
        <rFont val="Arial"/>
        <family val="0"/>
        <charset val="1"/>
      </rPr>
      <t xml:space="preserve">(</t>
    </r>
    <r>
      <rPr>
        <sz val="10"/>
        <rFont val="WenQuanYi Zen Hei"/>
        <family val="2"/>
      </rPr>
      <t xml:space="preserve">见 </t>
    </r>
    <r>
      <rPr>
        <sz val="10"/>
        <rFont val="Arial"/>
        <family val="0"/>
        <charset val="1"/>
      </rPr>
      <t xml:space="preserve">F13)</t>
    </r>
    <r>
      <rPr>
        <sz val="10"/>
        <rFont val="WenQuanYi Zen Hei"/>
        <family val="2"/>
      </rPr>
      <t xml:space="preserve">。</t>
    </r>
  </si>
  <si>
    <t xml:space="preserve">Heinz ×2</t>
  </si>
  <si>
    <t xml:space="preserve">F11</t>
  </si>
  <si>
    <r>
      <rPr>
        <sz val="10"/>
        <rFont val="Arial"/>
        <family val="0"/>
        <charset val="1"/>
      </rPr>
      <t xml:space="preserve">27:54-31:31 (</t>
    </r>
    <r>
      <rPr>
        <sz val="10"/>
        <rFont val="WenQuanYi Zen Hei"/>
        <family val="2"/>
      </rPr>
      <t xml:space="preserve">教授在文档里输入，粉色底</t>
    </r>
    <r>
      <rPr>
        <sz val="10"/>
        <rFont val="Arial"/>
        <family val="0"/>
        <charset val="1"/>
      </rPr>
      <t xml:space="preserve">)</t>
    </r>
  </si>
  <si>
    <r>
      <rPr>
        <sz val="10"/>
        <rFont val="Arial"/>
        <family val="0"/>
        <charset val="1"/>
      </rPr>
      <t xml:space="preserve">Introduction </t>
    </r>
    <r>
      <rPr>
        <sz val="10"/>
        <rFont val="WenQuanYi Zen Hei"/>
        <family val="2"/>
      </rPr>
      <t xml:space="preserve">论点句</t>
    </r>
  </si>
  <si>
    <r>
      <rPr>
        <sz val="10"/>
        <rFont val="Arial"/>
        <family val="0"/>
        <charset val="1"/>
      </rPr>
      <t xml:space="preserve">"Most of what you've written speaks to the fact that the parents, they're not knowledgeable about the benefits... change your thesis statement..." </t>
    </r>
    <r>
      <rPr>
        <sz val="10"/>
        <rFont val="WenQuanYi Zen Hei"/>
        <family val="2"/>
      </rPr>
      <t xml:space="preserve">教授输入：</t>
    </r>
    <r>
      <rPr>
        <sz val="10"/>
        <rFont val="Arial"/>
        <family val="0"/>
        <charset val="1"/>
      </rPr>
      <t xml:space="preserve">"This review explores how newcomer families lack understanding of childcare resources and services limits their utilization and benefit of these services."</t>
    </r>
  </si>
  <si>
    <t xml:space="preserve">新论点：缺乏对托育资源与服务的理解 → 限制使用与受益。</t>
  </si>
  <si>
    <r>
      <rPr>
        <sz val="10"/>
        <rFont val="WenQuanYi Zen Hei"/>
        <family val="2"/>
      </rPr>
      <t xml:space="preserve">采用新论点并修语法，例如：</t>
    </r>
    <r>
      <rPr>
        <sz val="10"/>
        <rFont val="Arial"/>
        <family val="0"/>
        <charset val="1"/>
      </rPr>
      <t xml:space="preserve">"This review explores how newcomer families' limited understanding of child care resources and services limits their use of and benefit from these services." </t>
    </r>
    <r>
      <rPr>
        <sz val="10"/>
        <rFont val="WenQuanYi Zen Hei"/>
        <family val="2"/>
      </rPr>
      <t xml:space="preserve">全文每段都要回扣这一句。</t>
    </r>
  </si>
  <si>
    <t xml:space="preserve">F12</t>
  </si>
  <si>
    <r>
      <rPr>
        <sz val="10"/>
        <rFont val="Arial"/>
        <family val="0"/>
        <charset val="1"/>
      </rPr>
      <t xml:space="preserve">30:48-31:31</t>
    </r>
    <r>
      <rPr>
        <sz val="10"/>
        <rFont val="WenQuanYi Zen Hei"/>
        <family val="2"/>
      </rPr>
      <t xml:space="preserve">；</t>
    </r>
    <r>
      <rPr>
        <sz val="10"/>
        <rFont val="Arial"/>
        <family val="0"/>
        <charset val="1"/>
      </rPr>
      <t xml:space="preserve">39:47-40:04</t>
    </r>
  </si>
  <si>
    <r>
      <rPr>
        <sz val="10"/>
        <rFont val="Arial"/>
        <family val="0"/>
        <charset val="1"/>
      </rPr>
      <t xml:space="preserve">Theme 1 </t>
    </r>
    <r>
      <rPr>
        <sz val="10"/>
        <rFont val="WenQuanYi Zen Hei"/>
        <family val="2"/>
      </rPr>
      <t xml:space="preserve">标题与主题句 </t>
    </r>
    <r>
      <rPr>
        <sz val="10"/>
        <rFont val="Arial"/>
        <family val="0"/>
        <charset val="1"/>
      </rPr>
      <t xml:space="preserve">(</t>
    </r>
    <r>
      <rPr>
        <sz val="10"/>
        <rFont val="WenQuanYi Zen Hei"/>
        <family val="2"/>
      </rPr>
      <t xml:space="preserve">教授输入</t>
    </r>
    <r>
      <rPr>
        <sz val="10"/>
        <rFont val="Arial"/>
        <family val="0"/>
        <charset val="1"/>
      </rPr>
      <t xml:space="preserve">)</t>
    </r>
  </si>
  <si>
    <r>
      <rPr>
        <sz val="10"/>
        <rFont val="WenQuanYi Zen Hei"/>
        <family val="2"/>
      </rPr>
      <t xml:space="preserve">教授输入标题：</t>
    </r>
    <r>
      <rPr>
        <sz val="10"/>
        <rFont val="Arial"/>
        <family val="0"/>
        <charset val="1"/>
      </rPr>
      <t xml:space="preserve">"Newcomer Families Lack Nuanced Understanding of How to Utilize the Services"</t>
    </r>
    <r>
      <rPr>
        <sz val="10"/>
        <rFont val="WenQuanYi Zen Hei"/>
        <family val="2"/>
      </rPr>
      <t xml:space="preserve">；主题句：</t>
    </r>
    <r>
      <rPr>
        <sz val="10"/>
        <rFont val="Arial"/>
        <family val="0"/>
        <charset val="1"/>
      </rPr>
      <t xml:space="preserve">"A main barrier that newcomer families experience in utilizing resources is having a nuanced understanding of what services exist."</t>
    </r>
  </si>
  <si>
    <r>
      <rPr>
        <sz val="10"/>
        <rFont val="Arial"/>
        <family val="0"/>
        <charset val="1"/>
      </rPr>
      <t xml:space="preserve">Theme 1 </t>
    </r>
    <r>
      <rPr>
        <sz val="10"/>
        <rFont val="WenQuanYi Zen Hei"/>
        <family val="2"/>
      </rPr>
      <t xml:space="preserve">改名并换主题句。</t>
    </r>
  </si>
  <si>
    <r>
      <rPr>
        <sz val="10"/>
        <rFont val="WenQuanYi Zen Hei"/>
        <family val="2"/>
      </rPr>
      <t xml:space="preserve">用教授标题。主题句修语法：</t>
    </r>
    <r>
      <rPr>
        <sz val="10"/>
        <rFont val="Arial"/>
        <family val="0"/>
        <charset val="1"/>
      </rPr>
      <t xml:space="preserve">"...is the lack of a nuanced understanding of what services offer and how to use them."</t>
    </r>
  </si>
  <si>
    <t xml:space="preserve">F13</t>
  </si>
  <si>
    <t xml:space="preserve">31:49-32:10</t>
  </si>
  <si>
    <r>
      <rPr>
        <sz val="10"/>
        <rFont val="Arial"/>
        <family val="0"/>
        <charset val="1"/>
      </rPr>
      <t xml:space="preserve">Theme 1 Heinz </t>
    </r>
    <r>
      <rPr>
        <sz val="10"/>
        <rFont val="WenQuanYi Zen Hei"/>
        <family val="2"/>
      </rPr>
      <t xml:space="preserve">证据</t>
    </r>
  </si>
  <si>
    <t xml:space="preserve">"So you talk about non-users they had applied before, were rejected because of their income. Another study found that some Spanish-speaking families did not know most copays have been waived... all of this information would then point to your thesis statement."</t>
  </si>
  <si>
    <r>
      <rPr>
        <sz val="10"/>
        <rFont val="WenQuanYi Zen Hei"/>
        <family val="2"/>
      </rPr>
      <t xml:space="preserve">换论点后，两篇 </t>
    </r>
    <r>
      <rPr>
        <sz val="10"/>
        <rFont val="Arial"/>
        <family val="0"/>
        <charset val="1"/>
      </rPr>
      <t xml:space="preserve">Heinz </t>
    </r>
    <r>
      <rPr>
        <sz val="10"/>
        <rFont val="WenQuanYi Zen Hei"/>
        <family val="2"/>
      </rPr>
      <t xml:space="preserve">的证据可以直接支持 </t>
    </r>
    <r>
      <rPr>
        <sz val="10"/>
        <rFont val="Arial"/>
        <family val="0"/>
        <charset val="1"/>
      </rPr>
      <t xml:space="preserve">Theme 1</t>
    </r>
    <r>
      <rPr>
        <sz val="10"/>
        <rFont val="WenQuanYi Zen Hei"/>
        <family val="2"/>
      </rPr>
      <t xml:space="preserve">。</t>
    </r>
  </si>
  <si>
    <r>
      <rPr>
        <sz val="10"/>
        <rFont val="WenQuanYi Zen Hei"/>
        <family val="2"/>
      </rPr>
      <t xml:space="preserve">保留 </t>
    </r>
    <r>
      <rPr>
        <sz val="10"/>
        <rFont val="Arial"/>
        <family val="0"/>
        <charset val="1"/>
      </rPr>
      <t xml:space="preserve">Heinz, Nava, et al. (2025, pp. 4–5)</t>
    </r>
    <r>
      <rPr>
        <sz val="10"/>
        <rFont val="WenQuanYi Zen Hei"/>
        <family val="2"/>
      </rPr>
      <t xml:space="preserve">：按过时的收入标准被告知不合格；保留 </t>
    </r>
    <r>
      <rPr>
        <sz val="10"/>
        <rFont val="Arial"/>
        <family val="0"/>
        <charset val="1"/>
      </rPr>
      <t xml:space="preserve">Heinz, Bell, et al. (2025, p. 400)</t>
    </r>
    <r>
      <rPr>
        <sz val="10"/>
        <rFont val="WenQuanYi Zen Hei"/>
        <family val="2"/>
      </rPr>
      <t xml:space="preserve">：不知道多数 </t>
    </r>
    <r>
      <rPr>
        <sz val="10"/>
        <rFont val="Arial"/>
        <family val="0"/>
        <charset val="1"/>
      </rPr>
      <t xml:space="preserve">copay </t>
    </r>
    <r>
      <rPr>
        <sz val="10"/>
        <rFont val="WenQuanYi Zen Hei"/>
        <family val="2"/>
      </rPr>
      <t xml:space="preserve">已免除。两篇必须区分作者，不能都写 </t>
    </r>
    <r>
      <rPr>
        <sz val="10"/>
        <rFont val="Arial"/>
        <family val="0"/>
        <charset val="1"/>
      </rPr>
      <t xml:space="preserve">"Heinz et al. (2025)"</t>
    </r>
    <r>
      <rPr>
        <sz val="10"/>
        <rFont val="WenQuanYi Zen Hei"/>
        <family val="2"/>
      </rPr>
      <t xml:space="preserve">。</t>
    </r>
  </si>
  <si>
    <t xml:space="preserve">Heinz, Nava (2025); Heinz, Bell (2025)</t>
  </si>
  <si>
    <t xml:space="preserve">F14</t>
  </si>
  <si>
    <t xml:space="preserve">32:27-32:50</t>
  </si>
  <si>
    <r>
      <rPr>
        <sz val="10"/>
        <rFont val="Arial"/>
        <family val="0"/>
        <charset val="1"/>
      </rPr>
      <t xml:space="preserve">Theme 1 Fakhari (2025) </t>
    </r>
    <r>
      <rPr>
        <sz val="10"/>
        <rFont val="WenQuanYi Zen Hei"/>
        <family val="2"/>
      </rPr>
      <t xml:space="preserve">许可证、经费、人员句</t>
    </r>
  </si>
  <si>
    <t xml:space="preserve">"So this one, this sentence does not connect with that thesis statement up here... go back and see how the information connect to the main point that you're making. There's some information that doesn't connect."</t>
  </si>
  <si>
    <r>
      <rPr>
        <sz val="10"/>
        <rFont val="WenQuanYi Zen Hei"/>
        <family val="2"/>
      </rPr>
      <t xml:space="preserve">机构执行层面 </t>
    </r>
    <r>
      <rPr>
        <sz val="10"/>
        <rFont val="Arial"/>
        <family val="0"/>
        <charset val="1"/>
      </rPr>
      <t xml:space="preserve">(licensing, funding, workforce) </t>
    </r>
    <r>
      <rPr>
        <sz val="10"/>
        <rFont val="WenQuanYi Zen Hei"/>
        <family val="2"/>
      </rPr>
      <t xml:space="preserve">与论点无关。</t>
    </r>
  </si>
  <si>
    <r>
      <rPr>
        <sz val="10"/>
        <rFont val="WenQuanYi Zen Hei"/>
        <family val="2"/>
      </rPr>
      <t xml:space="preserve">删除这一句。</t>
    </r>
    <r>
      <rPr>
        <sz val="10"/>
        <rFont val="Arial"/>
        <family val="0"/>
        <charset val="1"/>
      </rPr>
      <t xml:space="preserve">Fakhari et al. (2025) </t>
    </r>
    <r>
      <rPr>
        <sz val="10"/>
        <rFont val="WenQuanYi Zen Hei"/>
        <family val="2"/>
      </rPr>
      <t xml:space="preserve">本身是加拿大文献，改用于 </t>
    </r>
    <r>
      <rPr>
        <sz val="10"/>
        <rFont val="Arial"/>
        <family val="0"/>
        <charset val="1"/>
      </rPr>
      <t xml:space="preserve">Theme 2 (p. 91</t>
    </r>
    <r>
      <rPr>
        <sz val="10"/>
        <rFont val="WenQuanYi Zen Hei"/>
        <family val="2"/>
      </rPr>
      <t xml:space="preserve">，口译与语言课合作帮助家庭理解服务</t>
    </r>
    <r>
      <rPr>
        <sz val="10"/>
        <rFont val="Arial"/>
        <family val="0"/>
        <charset val="1"/>
      </rPr>
      <t xml:space="preserve">) </t>
    </r>
    <r>
      <rPr>
        <sz val="10"/>
        <rFont val="WenQuanYi Zen Hei"/>
        <family val="2"/>
      </rPr>
      <t xml:space="preserve">和 </t>
    </r>
    <r>
      <rPr>
        <sz val="10"/>
        <rFont val="Arial"/>
        <family val="0"/>
        <charset val="1"/>
      </rPr>
      <t xml:space="preserve">Theme 3 (p. 90</t>
    </r>
    <r>
      <rPr>
        <sz val="10"/>
        <rFont val="WenQuanYi Zen Hei"/>
        <family val="2"/>
      </rPr>
      <t xml:space="preserve">，文化与语言多样的教育者</t>
    </r>
    <r>
      <rPr>
        <sz val="10"/>
        <rFont val="Arial"/>
        <family val="0"/>
        <charset val="1"/>
      </rPr>
      <t xml:space="preserve">)</t>
    </r>
    <r>
      <rPr>
        <sz val="10"/>
        <rFont val="WenQuanYi Zen Hei"/>
        <family val="2"/>
      </rPr>
      <t xml:space="preserve">。</t>
    </r>
  </si>
  <si>
    <t xml:space="preserve">Fakhari et al. (2025)</t>
  </si>
  <si>
    <t xml:space="preserve">F15</t>
  </si>
  <si>
    <t xml:space="preserve">33:46-34:35</t>
  </si>
  <si>
    <r>
      <rPr>
        <sz val="10"/>
        <rFont val="Arial"/>
        <family val="0"/>
        <charset val="1"/>
      </rPr>
      <t xml:space="preserve">Theme 1 Papakosma </t>
    </r>
    <r>
      <rPr>
        <sz val="10"/>
        <rFont val="WenQuanYi Zen Hei"/>
        <family val="2"/>
      </rPr>
      <t xml:space="preserve">机构排斥段、</t>
    </r>
    <r>
      <rPr>
        <sz val="10"/>
        <rFont val="Arial"/>
        <family val="0"/>
        <charset val="1"/>
      </rPr>
      <t xml:space="preserve">Zamanbin</t>
    </r>
    <r>
      <rPr>
        <sz val="10"/>
        <rFont val="WenQuanYi Zen Hei"/>
        <family val="2"/>
      </rPr>
      <t xml:space="preserve">、两句 </t>
    </r>
    <r>
      <rPr>
        <sz val="10"/>
        <rFont val="Arial"/>
        <family val="0"/>
        <charset val="1"/>
      </rPr>
      <t xml:space="preserve">policy/implementation </t>
    </r>
    <r>
      <rPr>
        <sz val="10"/>
        <rFont val="WenQuanYi Zen Hei"/>
        <family val="2"/>
      </rPr>
      <t xml:space="preserve">总结句</t>
    </r>
  </si>
  <si>
    <t xml:space="preserve">"I don't know how this connects to your point of families not understanding... This part doesn't connect anything to do with your research focus... I'm going to delete this part because I think this is where you're beginning to get into the weeds."</t>
  </si>
  <si>
    <r>
      <rPr>
        <sz val="10"/>
        <rFont val="WenQuanYi Zen Hei"/>
        <family val="2"/>
      </rPr>
      <t xml:space="preserve">机构层面分析 </t>
    </r>
    <r>
      <rPr>
        <sz val="10"/>
        <rFont val="Arial"/>
        <family val="0"/>
        <charset val="1"/>
      </rPr>
      <t xml:space="preserve">(</t>
    </r>
    <r>
      <rPr>
        <sz val="10"/>
        <rFont val="WenQuanYi Zen Hei"/>
        <family val="2"/>
      </rPr>
      <t xml:space="preserve">瑞典、荷兰</t>
    </r>
    <r>
      <rPr>
        <sz val="10"/>
        <rFont val="Arial"/>
        <family val="0"/>
        <charset val="1"/>
      </rPr>
      <t xml:space="preserve">) </t>
    </r>
    <r>
      <rPr>
        <sz val="10"/>
        <rFont val="WenQuanYi Zen Hei"/>
        <family val="2"/>
      </rPr>
      <t xml:space="preserve">偏题，教授当场删除。</t>
    </r>
  </si>
  <si>
    <r>
      <rPr>
        <sz val="10"/>
        <rFont val="WenQuanYi Zen Hei"/>
        <family val="2"/>
      </rPr>
      <t xml:space="preserve">删除 </t>
    </r>
    <r>
      <rPr>
        <sz val="10"/>
        <rFont val="Arial"/>
        <family val="0"/>
        <charset val="1"/>
      </rPr>
      <t xml:space="preserve">Papakosma </t>
    </r>
    <r>
      <rPr>
        <sz val="10"/>
        <rFont val="WenQuanYi Zen Hei"/>
        <family val="2"/>
      </rPr>
      <t xml:space="preserve">机构排斥段、</t>
    </r>
    <r>
      <rPr>
        <sz val="10"/>
        <rFont val="Arial"/>
        <family val="0"/>
        <charset val="1"/>
      </rPr>
      <t xml:space="preserve">Zamanbin </t>
    </r>
    <r>
      <rPr>
        <sz val="10"/>
        <rFont val="WenQuanYi Zen Hei"/>
        <family val="2"/>
      </rPr>
      <t xml:space="preserve">全部内容，以及 </t>
    </r>
    <r>
      <rPr>
        <sz val="10"/>
        <rFont val="Arial"/>
        <family val="0"/>
        <charset val="1"/>
      </rPr>
      <t xml:space="preserve">"Understanding how policy reaches children..." </t>
    </r>
    <r>
      <rPr>
        <sz val="10"/>
        <rFont val="WenQuanYi Zen Hei"/>
        <family val="2"/>
      </rPr>
      <t xml:space="preserve">和 </t>
    </r>
    <r>
      <rPr>
        <sz val="10"/>
        <rFont val="Arial"/>
        <family val="0"/>
        <charset val="1"/>
      </rPr>
      <t xml:space="preserve">"Implementation requires daily communication..." </t>
    </r>
    <r>
      <rPr>
        <sz val="10"/>
        <rFont val="WenQuanYi Zen Hei"/>
        <family val="2"/>
      </rPr>
      <t xml:space="preserve">两句。</t>
    </r>
  </si>
  <si>
    <t xml:space="preserve">Papakosma (2026); Zamanbin (2026)</t>
  </si>
  <si>
    <t xml:space="preserve">F16</t>
  </si>
  <si>
    <r>
      <rPr>
        <sz val="10"/>
        <rFont val="Arial"/>
        <family val="0"/>
        <charset val="1"/>
      </rPr>
      <t xml:space="preserve">34:35-37:23 (</t>
    </r>
    <r>
      <rPr>
        <sz val="10"/>
        <rFont val="WenQuanYi Zen Hei"/>
        <family val="2"/>
      </rPr>
      <t xml:space="preserve">教授输入</t>
    </r>
    <r>
      <rPr>
        <sz val="10"/>
        <rFont val="Arial"/>
        <family val="0"/>
        <charset val="1"/>
      </rPr>
      <t xml:space="preserve">)</t>
    </r>
  </si>
  <si>
    <r>
      <rPr>
        <sz val="10"/>
        <rFont val="WenQuanYi Zen Hei"/>
        <family val="2"/>
      </rPr>
      <t xml:space="preserve">新 </t>
    </r>
    <r>
      <rPr>
        <sz val="10"/>
        <rFont val="Arial"/>
        <family val="0"/>
        <charset val="1"/>
      </rPr>
      <t xml:space="preserve">Theme 2 </t>
    </r>
    <r>
      <rPr>
        <sz val="10"/>
        <rFont val="WenQuanYi Zen Hei"/>
        <family val="2"/>
      </rPr>
      <t xml:space="preserve">标题与主题句</t>
    </r>
  </si>
  <si>
    <r>
      <rPr>
        <sz val="10"/>
        <rFont val="Arial"/>
        <family val="0"/>
        <charset val="1"/>
      </rPr>
      <t xml:space="preserve">"I think this part you're talking about the use of intermediaries to help... when supports such as interpreters and navigators are provided for newcomer families, they are able to better utilize services... Then you put your in-text citation here. You list three articles. This is at the heart of the point you're making." </t>
    </r>
    <r>
      <rPr>
        <sz val="10"/>
        <rFont val="WenQuanYi Zen Hei"/>
        <family val="2"/>
      </rPr>
      <t xml:space="preserve">标题：</t>
    </r>
    <r>
      <rPr>
        <sz val="10"/>
        <rFont val="Arial"/>
        <family val="0"/>
        <charset val="1"/>
      </rPr>
      <t xml:space="preserve">"Newcomer Families Need Support to Utilize these Services"</t>
    </r>
  </si>
  <si>
    <r>
      <rPr>
        <sz val="10"/>
        <rFont val="WenQuanYi Zen Hei"/>
        <family val="2"/>
      </rPr>
      <t xml:space="preserve">新 </t>
    </r>
    <r>
      <rPr>
        <sz val="10"/>
        <rFont val="Arial"/>
        <family val="0"/>
        <charset val="1"/>
      </rPr>
      <t xml:space="preserve">Theme 2</t>
    </r>
    <r>
      <rPr>
        <sz val="10"/>
        <rFont val="WenQuanYi Zen Hei"/>
        <family val="2"/>
      </rPr>
      <t xml:space="preserve">：中介支持 </t>
    </r>
    <r>
      <rPr>
        <sz val="10"/>
        <rFont val="Arial"/>
        <family val="0"/>
        <charset val="1"/>
      </rPr>
      <t xml:space="preserve">(</t>
    </r>
    <r>
      <rPr>
        <sz val="10"/>
        <rFont val="WenQuanYi Zen Hei"/>
        <family val="2"/>
      </rPr>
      <t xml:space="preserve">口译员、导航员等</t>
    </r>
    <r>
      <rPr>
        <sz val="10"/>
        <rFont val="Arial"/>
        <family val="0"/>
        <charset val="1"/>
      </rPr>
      <t xml:space="preserve">)</t>
    </r>
    <r>
      <rPr>
        <sz val="10"/>
        <rFont val="WenQuanYi Zen Hei"/>
        <family val="2"/>
      </rPr>
      <t xml:space="preserve">。</t>
    </r>
  </si>
  <si>
    <r>
      <rPr>
        <sz val="10"/>
        <rFont val="WenQuanYi Zen Hei"/>
        <family val="2"/>
      </rPr>
      <t xml:space="preserve">用教授的主题句，改 </t>
    </r>
    <r>
      <rPr>
        <sz val="10"/>
        <rFont val="Arial"/>
        <family val="0"/>
        <charset val="1"/>
      </rPr>
      <t xml:space="preserve">"which as" </t>
    </r>
    <r>
      <rPr>
        <sz val="10"/>
        <rFont val="WenQuanYi Zen Hei"/>
        <family val="2"/>
      </rPr>
      <t xml:space="preserve">为 </t>
    </r>
    <r>
      <rPr>
        <sz val="10"/>
        <rFont val="Arial"/>
        <family val="0"/>
        <charset val="1"/>
      </rPr>
      <t xml:space="preserve">"such as"</t>
    </r>
    <r>
      <rPr>
        <sz val="10"/>
        <rFont val="WenQuanYi Zen Hei"/>
        <family val="2"/>
      </rPr>
      <t xml:space="preserve">。括号里放三篇，建议 </t>
    </r>
    <r>
      <rPr>
        <sz val="10"/>
        <rFont val="Arial"/>
        <family val="0"/>
        <charset val="1"/>
      </rPr>
      <t xml:space="preserve">(Fakhari et al., 2023; Fakhari et al., 2025; Schwartz et al., 2026)</t>
    </r>
    <r>
      <rPr>
        <sz val="10"/>
        <rFont val="WenQuanYi Zen Hei"/>
        <family val="2"/>
      </rPr>
      <t xml:space="preserve">。</t>
    </r>
  </si>
  <si>
    <t xml:space="preserve">见“新结构”表</t>
  </si>
  <si>
    <t xml:space="preserve">F17</t>
  </si>
  <si>
    <t xml:space="preserve">37:29-38:04</t>
  </si>
  <si>
    <r>
      <rPr>
        <sz val="10"/>
        <rFont val="Arial"/>
        <family val="0"/>
        <charset val="1"/>
      </rPr>
      <t xml:space="preserve">Theme 2 </t>
    </r>
    <r>
      <rPr>
        <sz val="10"/>
        <rFont val="WenQuanYi Zen Hei"/>
        <family val="2"/>
      </rPr>
      <t xml:space="preserve">例句 </t>
    </r>
    <r>
      <rPr>
        <sz val="10"/>
        <rFont val="Arial"/>
        <family val="0"/>
        <charset val="1"/>
      </rPr>
      <t xml:space="preserve">"Bell et al., (2025)"</t>
    </r>
  </si>
  <si>
    <t xml:space="preserve">"I would say start with, for example, is it Heinz Bell or is it Bell et al.?" — Student: "It's Bell."</t>
  </si>
  <si>
    <r>
      <rPr>
        <sz val="10"/>
        <rFont val="WenQuanYi Zen Hei"/>
        <family val="2"/>
      </rPr>
      <t xml:space="preserve">引用写错：第一作者是 </t>
    </r>
    <r>
      <rPr>
        <sz val="10"/>
        <rFont val="Arial"/>
        <family val="0"/>
        <charset val="1"/>
      </rPr>
      <t xml:space="preserve">Heinz</t>
    </r>
    <r>
      <rPr>
        <sz val="10"/>
        <rFont val="WenQuanYi Zen Hei"/>
        <family val="2"/>
      </rPr>
      <t xml:space="preserve">，不是 </t>
    </r>
    <r>
      <rPr>
        <sz val="10"/>
        <rFont val="Arial"/>
        <family val="0"/>
        <charset val="1"/>
      </rPr>
      <t xml:space="preserve">Bell</t>
    </r>
    <r>
      <rPr>
        <sz val="10"/>
        <rFont val="WenQuanYi Zen Hei"/>
        <family val="2"/>
      </rPr>
      <t xml:space="preserve">。</t>
    </r>
  </si>
  <si>
    <r>
      <rPr>
        <sz val="10"/>
        <rFont val="WenQuanYi Zen Hei"/>
        <family val="2"/>
      </rPr>
      <t xml:space="preserve">改为 </t>
    </r>
    <r>
      <rPr>
        <sz val="10"/>
        <rFont val="Arial"/>
        <family val="0"/>
        <charset val="1"/>
      </rPr>
      <t xml:space="preserve">"Heinz, Bell, et al. (2025)"</t>
    </r>
    <r>
      <rPr>
        <sz val="10"/>
        <rFont val="WenQuanYi Zen Hei"/>
        <family val="2"/>
      </rPr>
      <t xml:space="preserve">；删去 </t>
    </r>
    <r>
      <rPr>
        <sz val="10"/>
        <rFont val="Arial"/>
        <family val="0"/>
        <charset val="1"/>
      </rPr>
      <t xml:space="preserve">"et al.," </t>
    </r>
    <r>
      <rPr>
        <sz val="10"/>
        <rFont val="WenQuanYi Zen Hei"/>
        <family val="2"/>
      </rPr>
      <t xml:space="preserve">后多余的逗号。</t>
    </r>
  </si>
  <si>
    <t xml:space="preserve">Heinz, Bell, et al. (2025)</t>
  </si>
  <si>
    <t xml:space="preserve">F18</t>
  </si>
  <si>
    <r>
      <rPr>
        <sz val="10"/>
        <rFont val="Arial"/>
        <family val="0"/>
        <charset val="1"/>
      </rPr>
      <t xml:space="preserve">38:04-38:29</t>
    </r>
    <r>
      <rPr>
        <sz val="10"/>
        <rFont val="WenQuanYi Zen Hei"/>
        <family val="2"/>
      </rPr>
      <t xml:space="preserve">；批注 </t>
    </r>
    <r>
      <rPr>
        <sz val="10"/>
        <rFont val="Arial"/>
        <family val="0"/>
        <charset val="1"/>
      </rPr>
      <t xml:space="preserve">#3 "Finish this paragraph."</t>
    </r>
  </si>
  <si>
    <r>
      <rPr>
        <sz val="10"/>
        <rFont val="Arial"/>
        <family val="0"/>
        <charset val="1"/>
      </rPr>
      <t xml:space="preserve">Theme 2 </t>
    </r>
    <r>
      <rPr>
        <sz val="10"/>
        <rFont val="WenQuanYi Zen Hei"/>
        <family val="2"/>
      </rPr>
      <t xml:space="preserve">段落</t>
    </r>
  </si>
  <si>
    <t xml:space="preserve">"So you have to expound on this... sort it out. And then you have to think about your third point... You have to finish this paragraph."</t>
  </si>
  <si>
    <r>
      <rPr>
        <sz val="10"/>
        <rFont val="Arial"/>
        <family val="0"/>
        <charset val="1"/>
      </rPr>
      <t xml:space="preserve">Theme 2 </t>
    </r>
    <r>
      <rPr>
        <sz val="10"/>
        <rFont val="WenQuanYi Zen Hei"/>
        <family val="2"/>
      </rPr>
      <t xml:space="preserve">只写了开头，需要写完整。</t>
    </r>
  </si>
  <si>
    <r>
      <rPr>
        <sz val="10"/>
        <rFont val="WenQuanYi Zen Hei"/>
        <family val="2"/>
      </rPr>
      <t xml:space="preserve">按 </t>
    </r>
    <r>
      <rPr>
        <sz val="10"/>
        <rFont val="Arial"/>
        <family val="0"/>
        <charset val="1"/>
      </rPr>
      <t xml:space="preserve">topic → evidence (3 sources) → contrast (</t>
    </r>
    <r>
      <rPr>
        <sz val="10"/>
        <rFont val="WenQuanYi Zen Hei"/>
        <family val="2"/>
      </rPr>
      <t xml:space="preserve">缺少中介时</t>
    </r>
    <r>
      <rPr>
        <sz val="10"/>
        <rFont val="Arial"/>
        <family val="0"/>
        <charset val="1"/>
      </rPr>
      <t xml:space="preserve">) → connection → takeaway </t>
    </r>
    <r>
      <rPr>
        <sz val="10"/>
        <rFont val="WenQuanYi Zen Hei"/>
        <family val="2"/>
      </rPr>
      <t xml:space="preserve">写完；详见“新结构”表。</t>
    </r>
  </si>
  <si>
    <t xml:space="preserve">F19</t>
  </si>
  <si>
    <t xml:space="preserve">38:50-40:26</t>
  </si>
  <si>
    <t xml:space="preserve">三个主题的对应</t>
  </si>
  <si>
    <t xml:space="preserve">"This is your theme one... Newcomer... Lack understanding of how to... All right, so that's your theme one. And then your theme two would be here... where they need support."</t>
  </si>
  <si>
    <r>
      <rPr>
        <sz val="10"/>
        <rFont val="WenQuanYi Zen Hei"/>
        <family val="2"/>
      </rPr>
      <t xml:space="preserve">教授确认结构：</t>
    </r>
    <r>
      <rPr>
        <sz val="10"/>
        <rFont val="Arial"/>
        <family val="0"/>
        <charset val="1"/>
      </rPr>
      <t xml:space="preserve">Theme 1 </t>
    </r>
    <r>
      <rPr>
        <sz val="10"/>
        <rFont val="WenQuanYi Zen Hei"/>
        <family val="2"/>
      </rPr>
      <t xml:space="preserve">是理解，</t>
    </r>
    <r>
      <rPr>
        <sz val="10"/>
        <rFont val="Arial"/>
        <family val="0"/>
        <charset val="1"/>
      </rPr>
      <t xml:space="preserve">Theme 2 </t>
    </r>
    <r>
      <rPr>
        <sz val="10"/>
        <rFont val="WenQuanYi Zen Hei"/>
        <family val="2"/>
      </rPr>
      <t xml:space="preserve">是支持。</t>
    </r>
  </si>
  <si>
    <t xml:space="preserve">按新结构重排全文。</t>
  </si>
  <si>
    <t xml:space="preserve">F20</t>
  </si>
  <si>
    <t xml:space="preserve">40:44-41:08</t>
  </si>
  <si>
    <r>
      <rPr>
        <sz val="10"/>
        <rFont val="WenQuanYi Zen Hei"/>
        <family val="2"/>
      </rPr>
      <t xml:space="preserve">旧 </t>
    </r>
    <r>
      <rPr>
        <sz val="10"/>
        <rFont val="Arial"/>
        <family val="0"/>
        <charset val="1"/>
      </rPr>
      <t xml:space="preserve">Theme 2 "Finding, Applying for, and Using Services: Families' Efforts and Difficulties"</t>
    </r>
  </si>
  <si>
    <t xml:space="preserve">Student: "funding, applying for, and user services, like a family efforts and the difficulty." Prof: "Okay, so yeah, third part, that's second part."</t>
  </si>
  <si>
    <r>
      <rPr>
        <sz val="10"/>
        <rFont val="WenQuanYi Zen Hei"/>
        <family val="2"/>
      </rPr>
      <t xml:space="preserve">教授把旧 </t>
    </r>
    <r>
      <rPr>
        <sz val="10"/>
        <rFont val="Arial"/>
        <family val="0"/>
        <charset val="1"/>
      </rPr>
      <t xml:space="preserve">Theme 2 </t>
    </r>
    <r>
      <rPr>
        <sz val="10"/>
        <rFont val="WenQuanYi Zen Hei"/>
        <family val="2"/>
      </rPr>
      <t xml:space="preserve">的内容归到“支持”这一部分。</t>
    </r>
  </si>
  <si>
    <r>
      <rPr>
        <sz val="10"/>
        <rFont val="WenQuanYi Zen Hei"/>
        <family val="2"/>
      </rPr>
      <t xml:space="preserve">旧 </t>
    </r>
    <r>
      <rPr>
        <sz val="10"/>
        <rFont val="Arial"/>
        <family val="0"/>
        <charset val="1"/>
      </rPr>
      <t xml:space="preserve">Theme 2 </t>
    </r>
    <r>
      <rPr>
        <sz val="10"/>
        <rFont val="WenQuanYi Zen Hei"/>
        <family val="2"/>
      </rPr>
      <t xml:space="preserve">中有用的证据并入新 </t>
    </r>
    <r>
      <rPr>
        <sz val="10"/>
        <rFont val="Arial"/>
        <family val="0"/>
        <charset val="1"/>
      </rPr>
      <t xml:space="preserve">Theme 2</t>
    </r>
    <r>
      <rPr>
        <sz val="10"/>
        <rFont val="WenQuanYi Zen Hei"/>
        <family val="2"/>
      </rPr>
      <t xml:space="preserve">：</t>
    </r>
    <r>
      <rPr>
        <sz val="10"/>
        <rFont val="Arial"/>
        <family val="0"/>
        <charset val="1"/>
      </rPr>
      <t xml:space="preserve">Fakhari 2023 (</t>
    </r>
    <r>
      <rPr>
        <sz val="10"/>
        <rFont val="WenQuanYi Zen Hei"/>
        <family val="2"/>
      </rPr>
      <t xml:space="preserve">社交网络与服务人员帮助</t>
    </r>
    <r>
      <rPr>
        <sz val="10"/>
        <rFont val="Arial"/>
        <family val="0"/>
        <charset val="1"/>
      </rPr>
      <t xml:space="preserve">)</t>
    </r>
    <r>
      <rPr>
        <sz val="10"/>
        <rFont val="WenQuanYi Zen Hei"/>
        <family val="2"/>
      </rPr>
      <t xml:space="preserve">、</t>
    </r>
    <r>
      <rPr>
        <sz val="10"/>
        <rFont val="Arial"/>
        <family val="0"/>
        <charset val="1"/>
      </rPr>
      <t xml:space="preserve">Loudová (NGO</t>
    </r>
    <r>
      <rPr>
        <sz val="10"/>
        <rFont val="WenQuanYi Zen Hei"/>
        <family val="2"/>
      </rPr>
      <t xml:space="preserve">、邻居、社区中心帮助</t>
    </r>
    <r>
      <rPr>
        <sz val="10"/>
        <rFont val="Arial"/>
        <family val="0"/>
        <charset val="1"/>
      </rPr>
      <t xml:space="preserve">)</t>
    </r>
    <r>
      <rPr>
        <sz val="10"/>
        <rFont val="WenQuanYi Zen Hei"/>
        <family val="2"/>
      </rPr>
      <t xml:space="preserve">。删除 </t>
    </r>
    <r>
      <rPr>
        <sz val="10"/>
        <rFont val="Arial"/>
        <family val="0"/>
        <charset val="1"/>
      </rPr>
      <t xml:space="preserve">"family efforts" </t>
    </r>
    <r>
      <rPr>
        <sz val="10"/>
        <rFont val="WenQuanYi Zen Hei"/>
        <family val="2"/>
      </rPr>
      <t xml:space="preserve">这一框架。</t>
    </r>
  </si>
  <si>
    <t xml:space="preserve">建议</t>
  </si>
  <si>
    <t xml:space="preserve">Fakhari (2023); Loudová (2025)</t>
  </si>
  <si>
    <t xml:space="preserve">F21</t>
  </si>
  <si>
    <t xml:space="preserve">41:42-42:12</t>
  </si>
  <si>
    <r>
      <rPr>
        <sz val="10"/>
        <rFont val="WenQuanYi Zen Hei"/>
        <family val="2"/>
      </rPr>
      <t xml:space="preserve">旧 </t>
    </r>
    <r>
      <rPr>
        <sz val="10"/>
        <rFont val="Arial"/>
        <family val="0"/>
        <charset val="1"/>
      </rPr>
      <t xml:space="preserve">Theme 3 "Parents' Views and Educators' Responses"</t>
    </r>
  </si>
  <si>
    <t xml:space="preserve">"Okay, so again, you're not focused on your research problem. Because here you're talking about evaluation, but your research problem isn't about evaluation... there's nothing here that's telling me about access to services."</t>
  </si>
  <si>
    <r>
      <rPr>
        <sz val="10"/>
        <rFont val="Arial"/>
        <family val="0"/>
        <charset val="1"/>
      </rPr>
      <t xml:space="preserve">"parents evaluate services..." </t>
    </r>
    <r>
      <rPr>
        <sz val="10"/>
        <rFont val="WenQuanYi Zen Hei"/>
        <family val="2"/>
      </rPr>
      <t xml:space="preserve">写的是评价，不是研究问题。</t>
    </r>
  </si>
  <si>
    <r>
      <rPr>
        <sz val="10"/>
        <rFont val="WenQuanYi Zen Hei"/>
        <family val="2"/>
      </rPr>
      <t xml:space="preserve">删去 </t>
    </r>
    <r>
      <rPr>
        <sz val="10"/>
        <rFont val="Arial"/>
        <family val="0"/>
        <charset val="1"/>
      </rPr>
      <t xml:space="preserve">"Newcomer parents evaluate early childhood services..." </t>
    </r>
    <r>
      <rPr>
        <sz val="10"/>
        <rFont val="WenQuanYi Zen Hei"/>
        <family val="2"/>
      </rPr>
      <t xml:space="preserve">这一框架，以及 </t>
    </r>
    <r>
      <rPr>
        <sz val="10"/>
        <rFont val="Arial"/>
        <family val="0"/>
        <charset val="1"/>
      </rPr>
      <t xml:space="preserve">"unspoken needs / few objections" </t>
    </r>
    <r>
      <rPr>
        <sz val="10"/>
        <rFont val="WenQuanYi Zen Hei"/>
        <family val="2"/>
      </rPr>
      <t xml:space="preserve">这条论证线。</t>
    </r>
  </si>
  <si>
    <t xml:space="preserve">Lund; Schwartz</t>
  </si>
  <si>
    <t xml:space="preserve">F22</t>
  </si>
  <si>
    <r>
      <rPr>
        <sz val="10"/>
        <rFont val="Arial"/>
        <family val="0"/>
        <charset val="1"/>
      </rPr>
      <t xml:space="preserve">42:20-43:48</t>
    </r>
    <r>
      <rPr>
        <sz val="10"/>
        <rFont val="WenQuanYi Zen Hei"/>
        <family val="2"/>
      </rPr>
      <t xml:space="preserve">；批注 </t>
    </r>
    <r>
      <rPr>
        <sz val="10"/>
        <rFont val="Arial"/>
        <family val="0"/>
        <charset val="1"/>
      </rPr>
      <t xml:space="preserve">#4</t>
    </r>
  </si>
  <si>
    <r>
      <rPr>
        <sz val="10"/>
        <rFont val="WenQuanYi Zen Hei"/>
        <family val="2"/>
      </rPr>
      <t xml:space="preserve">旧 </t>
    </r>
    <r>
      <rPr>
        <sz val="10"/>
        <rFont val="Arial"/>
        <family val="0"/>
        <charset val="1"/>
      </rPr>
      <t xml:space="preserve">Theme 3</t>
    </r>
  </si>
  <si>
    <r>
      <rPr>
        <sz val="10"/>
        <rFont val="Arial"/>
        <family val="0"/>
        <charset val="1"/>
      </rPr>
      <t xml:space="preserve">"It seems like you're talking about here that there needs to be more culturally responsive support. You have to reframe it as that and not necessary parents views... the information you have here can work. You just have to reframe it to focus on... the need for more culturally responsive programs." </t>
    </r>
    <r>
      <rPr>
        <sz val="10"/>
        <rFont val="WenQuanYi Zen Hei"/>
        <family val="2"/>
      </rPr>
      <t xml:space="preserve">批注：</t>
    </r>
    <r>
      <rPr>
        <sz val="10"/>
        <rFont val="Arial"/>
        <family val="0"/>
        <charset val="1"/>
      </rPr>
      <t xml:space="preserve">"Reframe to focus on the need for more culrurally responsive services to be more responsive for famiilies"</t>
    </r>
  </si>
  <si>
    <r>
      <rPr>
        <sz val="10"/>
        <rFont val="Arial"/>
        <family val="0"/>
        <charset val="1"/>
      </rPr>
      <t xml:space="preserve">Theme 3 </t>
    </r>
    <r>
      <rPr>
        <sz val="10"/>
        <rFont val="WenQuanYi Zen Hei"/>
        <family val="2"/>
      </rPr>
      <t xml:space="preserve">重构为“需要更具文化回应性的服务”。</t>
    </r>
  </si>
  <si>
    <r>
      <rPr>
        <sz val="10"/>
        <rFont val="Arial"/>
        <family val="0"/>
        <charset val="1"/>
      </rPr>
      <t xml:space="preserve">Theme 3 </t>
    </r>
    <r>
      <rPr>
        <sz val="10"/>
        <rFont val="WenQuanYi Zen Hei"/>
        <family val="2"/>
      </rPr>
      <t xml:space="preserve">标题例：</t>
    </r>
    <r>
      <rPr>
        <sz val="10"/>
        <rFont val="Arial"/>
        <family val="0"/>
        <charset val="1"/>
      </rPr>
      <t xml:space="preserve">Newcomer Families Need More Culturally Responsive Services</t>
    </r>
    <r>
      <rPr>
        <sz val="10"/>
        <rFont val="WenQuanYi Zen Hei"/>
        <family val="2"/>
      </rPr>
      <t xml:space="preserve">。现有证据可以继续用 </t>
    </r>
    <r>
      <rPr>
        <sz val="10"/>
        <rFont val="Arial"/>
        <family val="0"/>
        <charset val="1"/>
      </rPr>
      <t xml:space="preserve">(Fakhari 2023 p. 7</t>
    </r>
    <r>
      <rPr>
        <sz val="10"/>
        <rFont val="WenQuanYi Zen Hei"/>
        <family val="2"/>
      </rPr>
      <t xml:space="preserve">、</t>
    </r>
    <r>
      <rPr>
        <sz val="10"/>
        <rFont val="Arial"/>
        <family val="0"/>
        <charset val="1"/>
      </rPr>
      <t xml:space="preserve">Lund 2024 p. 8</t>
    </r>
    <r>
      <rPr>
        <sz val="10"/>
        <rFont val="WenQuanYi Zen Hei"/>
        <family val="2"/>
      </rPr>
      <t xml:space="preserve">、</t>
    </r>
    <r>
      <rPr>
        <sz val="10"/>
        <rFont val="Arial"/>
        <family val="0"/>
        <charset val="1"/>
      </rPr>
      <t xml:space="preserve">Schwartz pp. 8–9</t>
    </r>
    <r>
      <rPr>
        <sz val="10"/>
        <rFont val="WenQuanYi Zen Hei"/>
        <family val="2"/>
      </rPr>
      <t xml:space="preserve">、</t>
    </r>
    <r>
      <rPr>
        <sz val="10"/>
        <rFont val="Arial"/>
        <family val="0"/>
        <charset val="1"/>
      </rPr>
      <t xml:space="preserve">Loudová pp. 9–10)</t>
    </r>
    <r>
      <rPr>
        <sz val="10"/>
        <rFont val="WenQuanYi Zen Hei"/>
        <family val="2"/>
      </rPr>
      <t xml:space="preserve">，并加入加拿大锚点 </t>
    </r>
    <r>
      <rPr>
        <sz val="10"/>
        <rFont val="Arial"/>
        <family val="0"/>
        <charset val="1"/>
      </rPr>
      <t xml:space="preserve">Fakhari 2025 p. 90</t>
    </r>
    <r>
      <rPr>
        <sz val="10"/>
        <rFont val="WenQuanYi Zen Hei"/>
        <family val="2"/>
      </rPr>
      <t xml:space="preserve">。</t>
    </r>
  </si>
  <si>
    <t xml:space="preserve">见“现有文献”表</t>
  </si>
  <si>
    <t xml:space="preserve">F23</t>
  </si>
  <si>
    <r>
      <rPr>
        <sz val="10"/>
        <rFont val="Arial"/>
        <family val="0"/>
        <charset val="1"/>
      </rPr>
      <t xml:space="preserve">43:51-44:17</t>
    </r>
    <r>
      <rPr>
        <sz val="10"/>
        <rFont val="WenQuanYi Zen Hei"/>
        <family val="2"/>
      </rPr>
      <t xml:space="preserve">；</t>
    </r>
    <r>
      <rPr>
        <sz val="10"/>
        <rFont val="Arial"/>
        <family val="0"/>
        <charset val="1"/>
      </rPr>
      <t xml:space="preserve">48:20-48:46</t>
    </r>
    <r>
      <rPr>
        <sz val="10"/>
        <rFont val="WenQuanYi Zen Hei"/>
        <family val="2"/>
      </rPr>
      <t xml:space="preserve">；批注 </t>
    </r>
    <r>
      <rPr>
        <sz val="10"/>
        <rFont val="Arial"/>
        <family val="0"/>
        <charset val="1"/>
      </rPr>
      <t xml:space="preserve">#5</t>
    </r>
  </si>
  <si>
    <r>
      <rPr>
        <sz val="10"/>
        <rFont val="WenQuanYi Zen Hei"/>
        <family val="2"/>
      </rPr>
      <t xml:space="preserve">全文，尤其 </t>
    </r>
    <r>
      <rPr>
        <sz val="10"/>
        <rFont val="Arial"/>
        <family val="0"/>
        <charset val="1"/>
      </rPr>
      <t xml:space="preserve">Theme 3</t>
    </r>
  </si>
  <si>
    <r>
      <rPr>
        <sz val="10"/>
        <rFont val="Arial"/>
        <family val="0"/>
        <charset val="1"/>
      </rPr>
      <t xml:space="preserve">"You're mentioning a lot of different countries. Please try... not to mention so many countries... focus your analysis mainly on Ontario." </t>
    </r>
    <r>
      <rPr>
        <sz val="10"/>
        <rFont val="WenQuanYi Zen Hei"/>
        <family val="2"/>
      </rPr>
      <t xml:space="preserve">批注：</t>
    </r>
    <r>
      <rPr>
        <sz val="10"/>
        <rFont val="Arial"/>
        <family val="0"/>
        <charset val="1"/>
      </rPr>
      <t xml:space="preserve">"Try not to mentioned focus your analysis mainly on Ontario. You do not have to discuss these so singularly"</t>
    </r>
  </si>
  <si>
    <t xml:space="preserve">不要逐篇点出国家名，分析以安省为中心，不要一篇一篇单独讨论。</t>
  </si>
  <si>
    <r>
      <rPr>
        <sz val="10"/>
        <rFont val="WenQuanYi Zen Hei"/>
        <family val="2"/>
      </rPr>
      <t xml:space="preserve">删去 </t>
    </r>
    <r>
      <rPr>
        <sz val="10"/>
        <rFont val="Arial"/>
        <family val="0"/>
        <charset val="1"/>
      </rPr>
      <t xml:space="preserve">Norway</t>
    </r>
    <r>
      <rPr>
        <sz val="10"/>
        <rFont val="WenQuanYi Zen Hei"/>
        <family val="2"/>
      </rPr>
      <t xml:space="preserve">、</t>
    </r>
    <r>
      <rPr>
        <sz val="10"/>
        <rFont val="Arial"/>
        <family val="0"/>
        <charset val="1"/>
      </rPr>
      <t xml:space="preserve">Israel</t>
    </r>
    <r>
      <rPr>
        <sz val="10"/>
        <rFont val="WenQuanYi Zen Hei"/>
        <family val="2"/>
      </rPr>
      <t xml:space="preserve">、</t>
    </r>
    <r>
      <rPr>
        <sz val="10"/>
        <rFont val="Arial"/>
        <family val="0"/>
        <charset val="1"/>
      </rPr>
      <t xml:space="preserve">Czech</t>
    </r>
    <r>
      <rPr>
        <sz val="10"/>
        <rFont val="WenQuanYi Zen Hei"/>
        <family val="2"/>
      </rPr>
      <t xml:space="preserve">、</t>
    </r>
    <r>
      <rPr>
        <sz val="10"/>
        <rFont val="Arial"/>
        <family val="0"/>
        <charset val="1"/>
      </rPr>
      <t xml:space="preserve">Sweden</t>
    </r>
    <r>
      <rPr>
        <sz val="10"/>
        <rFont val="WenQuanYi Zen Hei"/>
        <family val="2"/>
      </rPr>
      <t xml:space="preserve">、</t>
    </r>
    <r>
      <rPr>
        <sz val="10"/>
        <rFont val="Arial"/>
        <family val="0"/>
        <charset val="1"/>
      </rPr>
      <t xml:space="preserve">New Mexico</t>
    </r>
    <r>
      <rPr>
        <sz val="10"/>
        <rFont val="WenQuanYi Zen Hei"/>
        <family val="2"/>
      </rPr>
      <t xml:space="preserve">、</t>
    </r>
    <r>
      <rPr>
        <sz val="10"/>
        <rFont val="Arial"/>
        <family val="0"/>
        <charset val="1"/>
      </rPr>
      <t xml:space="preserve">Netherlands </t>
    </r>
    <r>
      <rPr>
        <sz val="10"/>
        <rFont val="WenQuanYi Zen Hei"/>
        <family val="2"/>
      </rPr>
      <t xml:space="preserve">等国家和州名，可写 </t>
    </r>
    <r>
      <rPr>
        <sz val="10"/>
        <rFont val="Arial"/>
        <family val="0"/>
        <charset val="1"/>
      </rPr>
      <t xml:space="preserve">"studies with refugee families in other countries" </t>
    </r>
    <r>
      <rPr>
        <sz val="10"/>
        <rFont val="WenQuanYi Zen Hei"/>
        <family val="2"/>
      </rPr>
      <t xml:space="preserve">或直接按观点归并 </t>
    </r>
    <r>
      <rPr>
        <sz val="10"/>
        <rFont val="Arial"/>
        <family val="0"/>
        <charset val="1"/>
      </rPr>
      <t xml:space="preserve">(Lund, 2024; Schwartz et al., 2026)</t>
    </r>
    <r>
      <rPr>
        <sz val="10"/>
        <rFont val="WenQuanYi Zen Hei"/>
        <family val="2"/>
      </rPr>
      <t xml:space="preserve">。</t>
    </r>
  </si>
  <si>
    <t xml:space="preserve">全部非加拿大文献</t>
  </si>
  <si>
    <t xml:space="preserve">F24</t>
  </si>
  <si>
    <r>
      <rPr>
        <sz val="10"/>
        <rFont val="Arial"/>
        <family val="0"/>
        <charset val="1"/>
      </rPr>
      <t xml:space="preserve">44:51-45:29</t>
    </r>
    <r>
      <rPr>
        <sz val="10"/>
        <rFont val="WenQuanYi Zen Hei"/>
        <family val="2"/>
      </rPr>
      <t xml:space="preserve">；批注 </t>
    </r>
    <r>
      <rPr>
        <sz val="10"/>
        <rFont val="Arial"/>
        <family val="0"/>
        <charset val="1"/>
      </rPr>
      <t xml:space="preserve">#6</t>
    </r>
  </si>
  <si>
    <t xml:space="preserve">全文</t>
  </si>
  <si>
    <r>
      <rPr>
        <sz val="10"/>
        <rFont val="Arial"/>
        <family val="0"/>
        <charset val="1"/>
      </rPr>
      <t xml:space="preserve">"I want you to contextualize it more to Ontario or Canada because you're mentioning a lot of different countries here without pointing it back to what the literature is saying about newcomer families in Canada." </t>
    </r>
    <r>
      <rPr>
        <sz val="10"/>
        <rFont val="WenQuanYi Zen Hei"/>
        <family val="2"/>
      </rPr>
      <t xml:space="preserve">批注：</t>
    </r>
    <r>
      <rPr>
        <sz val="10"/>
        <rFont val="Arial"/>
        <family val="0"/>
        <charset val="1"/>
      </rPr>
      <t xml:space="preserve">"What is the literature saying about newcomer families in Canada?"</t>
    </r>
  </si>
  <si>
    <t xml:space="preserve">每个主题都要回到加拿大和安省的文献与政策。</t>
  </si>
  <si>
    <r>
      <rPr>
        <sz val="10"/>
        <rFont val="WenQuanYi Zen Hei"/>
        <family val="2"/>
      </rPr>
      <t xml:space="preserve">每个主题用加拿大证据开头或收尾：</t>
    </r>
    <r>
      <rPr>
        <sz val="10"/>
        <rFont val="Arial"/>
        <family val="0"/>
        <charset val="1"/>
      </rPr>
      <t xml:space="preserve">Burns 2025</t>
    </r>
    <r>
      <rPr>
        <sz val="10"/>
        <rFont val="WenQuanYi Zen Hei"/>
        <family val="2"/>
      </rPr>
      <t xml:space="preserve">、</t>
    </r>
    <r>
      <rPr>
        <sz val="10"/>
        <rFont val="Arial"/>
        <family val="0"/>
        <charset val="1"/>
      </rPr>
      <t xml:space="preserve">Fakhari 2023</t>
    </r>
    <r>
      <rPr>
        <sz val="10"/>
        <rFont val="WenQuanYi Zen Hei"/>
        <family val="2"/>
      </rPr>
      <t xml:space="preserve">、</t>
    </r>
    <r>
      <rPr>
        <sz val="10"/>
        <rFont val="Arial"/>
        <family val="0"/>
        <charset val="1"/>
      </rPr>
      <t xml:space="preserve">Fakhari 2025</t>
    </r>
    <r>
      <rPr>
        <sz val="10"/>
        <rFont val="WenQuanYi Zen Hei"/>
        <family val="2"/>
      </rPr>
      <t xml:space="preserve">、</t>
    </r>
    <r>
      <rPr>
        <sz val="10"/>
        <rFont val="Arial"/>
        <family val="0"/>
        <charset val="1"/>
      </rPr>
      <t xml:space="preserve">Brown 2020 (</t>
    </r>
    <r>
      <rPr>
        <sz val="10"/>
        <rFont val="WenQuanYi Zen Hei"/>
        <family val="2"/>
      </rPr>
      <t xml:space="preserve">教授推荐，待读</t>
    </r>
    <r>
      <rPr>
        <sz val="10"/>
        <rFont val="Arial"/>
        <family val="0"/>
        <charset val="1"/>
      </rPr>
      <t xml:space="preserve">)</t>
    </r>
    <r>
      <rPr>
        <sz val="10"/>
        <rFont val="WenQuanYi Zen Hei"/>
        <family val="2"/>
      </rPr>
      <t xml:space="preserve">、</t>
    </r>
    <r>
      <rPr>
        <sz val="10"/>
        <rFont val="Arial"/>
        <family val="0"/>
        <charset val="1"/>
      </rPr>
      <t xml:space="preserve">Ajayi 2026 (</t>
    </r>
    <r>
      <rPr>
        <sz val="10"/>
        <rFont val="WenQuanYi Zen Hei"/>
        <family val="2"/>
      </rPr>
      <t xml:space="preserve">安省，待读</t>
    </r>
    <r>
      <rPr>
        <sz val="10"/>
        <rFont val="Arial"/>
        <family val="0"/>
        <charset val="1"/>
      </rPr>
      <t xml:space="preserve">)</t>
    </r>
    <r>
      <rPr>
        <sz val="10"/>
        <rFont val="WenQuanYi Zen Hei"/>
        <family val="2"/>
      </rPr>
      <t xml:space="preserve">、安省政策。</t>
    </r>
  </si>
  <si>
    <t xml:space="preserve">加拿大文献组</t>
  </si>
  <si>
    <t xml:space="preserve">F25</t>
  </si>
  <si>
    <t xml:space="preserve">45:44-46:00</t>
  </si>
  <si>
    <r>
      <rPr>
        <sz val="10"/>
        <rFont val="Arial"/>
        <family val="0"/>
        <charset val="1"/>
      </rPr>
      <t xml:space="preserve">Conclusion </t>
    </r>
    <r>
      <rPr>
        <sz val="10"/>
        <rFont val="WenQuanYi Zen Hei"/>
        <family val="2"/>
      </rPr>
      <t xml:space="preserve">与篇幅</t>
    </r>
  </si>
  <si>
    <t xml:space="preserve">"I can't comment on your conclusion and this is also too long. You only need 5 pages... you would have to rewrite your assignment."</t>
  </si>
  <si>
    <r>
      <rPr>
        <sz val="10"/>
        <rFont val="WenQuanYi Zen Hei"/>
        <family val="2"/>
      </rPr>
      <t xml:space="preserve">篇幅超过 </t>
    </r>
    <r>
      <rPr>
        <sz val="10"/>
        <rFont val="Arial"/>
        <family val="0"/>
        <charset val="1"/>
      </rPr>
      <t xml:space="preserve">5 </t>
    </r>
    <r>
      <rPr>
        <sz val="10"/>
        <rFont val="WenQuanYi Zen Hei"/>
        <family val="2"/>
      </rPr>
      <t xml:space="preserve">页；结论要随新论点重写。</t>
    </r>
  </si>
  <si>
    <r>
      <rPr>
        <sz val="10"/>
        <rFont val="WenQuanYi Zen Hei"/>
        <family val="2"/>
      </rPr>
      <t xml:space="preserve">正文控制在 </t>
    </r>
    <r>
      <rPr>
        <sz val="10"/>
        <rFont val="Arial"/>
        <family val="0"/>
        <charset val="1"/>
      </rPr>
      <t xml:space="preserve">5 </t>
    </r>
    <r>
      <rPr>
        <sz val="10"/>
        <rFont val="WenQuanYi Zen Hei"/>
        <family val="2"/>
      </rPr>
      <t xml:space="preserve">页以内 </t>
    </r>
    <r>
      <rPr>
        <sz val="10"/>
        <rFont val="Arial"/>
        <family val="0"/>
        <charset val="1"/>
      </rPr>
      <t xml:space="preserve">(</t>
    </r>
    <r>
      <rPr>
        <sz val="10"/>
        <rFont val="WenQuanYi Zen Hei"/>
        <family val="2"/>
      </rPr>
      <t xml:space="preserve">不含 </t>
    </r>
    <r>
      <rPr>
        <sz val="10"/>
        <rFont val="Arial"/>
        <family val="0"/>
        <charset val="1"/>
      </rPr>
      <t xml:space="preserve">References)</t>
    </r>
    <r>
      <rPr>
        <sz val="10"/>
        <rFont val="WenQuanYi Zen Hei"/>
        <family val="2"/>
      </rPr>
      <t xml:space="preserve">。结论按教授 </t>
    </r>
    <r>
      <rPr>
        <sz val="10"/>
        <rFont val="Arial"/>
        <family val="0"/>
        <charset val="1"/>
      </rPr>
      <t xml:space="preserve">Conclusion Checklist </t>
    </r>
    <r>
      <rPr>
        <sz val="10"/>
        <rFont val="WenQuanYi Zen Hei"/>
        <family val="2"/>
      </rPr>
      <t xml:space="preserve">重写 </t>
    </r>
    <r>
      <rPr>
        <sz val="10"/>
        <rFont val="Arial"/>
        <family val="0"/>
        <charset val="1"/>
      </rPr>
      <t xml:space="preserve">(</t>
    </r>
    <r>
      <rPr>
        <sz val="10"/>
        <rFont val="WenQuanYi Zen Hei"/>
        <family val="2"/>
      </rPr>
      <t xml:space="preserve">见“清单自查”表</t>
    </r>
    <r>
      <rPr>
        <sz val="10"/>
        <rFont val="Arial"/>
        <family val="0"/>
        <charset val="1"/>
      </rPr>
      <t xml:space="preserve">)</t>
    </r>
    <r>
      <rPr>
        <sz val="10"/>
        <rFont val="WenQuanYi Zen Hei"/>
        <family val="2"/>
      </rPr>
      <t xml:space="preserve">。</t>
    </r>
  </si>
  <si>
    <t xml:space="preserve">F26</t>
  </si>
  <si>
    <r>
      <rPr>
        <sz val="10"/>
        <rFont val="Arial"/>
        <family val="0"/>
        <charset val="1"/>
      </rPr>
      <t xml:space="preserve">46:12-47:06</t>
    </r>
    <r>
      <rPr>
        <sz val="10"/>
        <rFont val="WenQuanYi Zen Hei"/>
        <family val="2"/>
      </rPr>
      <t xml:space="preserve">；</t>
    </r>
    <r>
      <rPr>
        <sz val="10"/>
        <rFont val="Arial"/>
        <family val="0"/>
        <charset val="1"/>
      </rPr>
      <t xml:space="preserve">53:55-54:13</t>
    </r>
  </si>
  <si>
    <t xml:space="preserve">写作过程</t>
  </si>
  <si>
    <t xml:space="preserve">"So please remember, focus on Canada, focus on Ontario, Ontario policies, and also focus specifically on your research problem... ask the AI, how does this relate to my research problem?"</t>
  </si>
  <si>
    <t xml:space="preserve">每一段都要自查与研究问题的相关性。</t>
  </si>
  <si>
    <r>
      <rPr>
        <sz val="10"/>
        <rFont val="WenQuanYi Zen Hei"/>
        <family val="2"/>
      </rPr>
      <t xml:space="preserve">每段写完问：</t>
    </r>
    <r>
      <rPr>
        <sz val="10"/>
        <rFont val="Arial"/>
        <family val="0"/>
        <charset val="1"/>
      </rPr>
      <t xml:space="preserve">"How does this paragraph relate to my research problem?" </t>
    </r>
    <r>
      <rPr>
        <sz val="10"/>
        <rFont val="WenQuanYi Zen Hei"/>
        <family val="2"/>
      </rPr>
      <t xml:space="preserve">答不出来就删。</t>
    </r>
  </si>
  <si>
    <t xml:space="preserve">F27</t>
  </si>
  <si>
    <t xml:space="preserve">47:49-48:46</t>
  </si>
  <si>
    <t xml:space="preserve">文献选择</t>
  </si>
  <si>
    <t xml:space="preserve">Student: 30 articles, only 4 Ontario/Toronto — need more? Prof: "What you have to do is not mention the countries so explicitly... And focus on the main argument."</t>
  </si>
  <si>
    <t xml:space="preserve">教授没有要求大规模换文献；重点是不要逐一点名国家，并紧扣论点。</t>
  </si>
  <si>
    <r>
      <rPr>
        <sz val="10"/>
        <rFont val="WenQuanYi Zen Hei"/>
        <family val="2"/>
      </rPr>
      <t xml:space="preserve">保留可用的国际文献但不点名国家；适度补 </t>
    </r>
    <r>
      <rPr>
        <sz val="10"/>
        <rFont val="Arial"/>
        <family val="0"/>
        <charset val="1"/>
      </rPr>
      <t xml:space="preserve">1–3 </t>
    </r>
    <r>
      <rPr>
        <sz val="10"/>
        <rFont val="WenQuanYi Zen Hei"/>
        <family val="2"/>
      </rPr>
      <t xml:space="preserve">篇加拿大文献来强化 </t>
    </r>
    <r>
      <rPr>
        <sz val="10"/>
        <rFont val="Arial"/>
        <family val="0"/>
        <charset val="1"/>
      </rPr>
      <t xml:space="preserve">(</t>
    </r>
    <r>
      <rPr>
        <sz val="10"/>
        <rFont val="WenQuanYi Zen Hei"/>
        <family val="2"/>
      </rPr>
      <t xml:space="preserve">非强制，见“新增文献”表</t>
    </r>
    <r>
      <rPr>
        <sz val="10"/>
        <rFont val="Arial"/>
        <family val="0"/>
        <charset val="1"/>
      </rPr>
      <t xml:space="preserve">)</t>
    </r>
    <r>
      <rPr>
        <sz val="10"/>
        <rFont val="WenQuanYi Zen Hei"/>
        <family val="2"/>
      </rPr>
      <t xml:space="preserve">。</t>
    </r>
  </si>
  <si>
    <t xml:space="preserve">F28</t>
  </si>
  <si>
    <r>
      <rPr>
        <sz val="10"/>
        <rFont val="Arial"/>
        <family val="0"/>
        <charset val="1"/>
      </rPr>
      <t xml:space="preserve">50:37-51:52 (</t>
    </r>
    <r>
      <rPr>
        <sz val="10"/>
        <rFont val="WenQuanYi Zen Hei"/>
        <family val="2"/>
      </rPr>
      <t xml:space="preserve">教授读 </t>
    </r>
    <r>
      <rPr>
        <sz val="10"/>
        <rFont val="Arial"/>
        <family val="0"/>
        <charset val="1"/>
      </rPr>
      <t xml:space="preserve">Copilot </t>
    </r>
    <r>
      <rPr>
        <sz val="10"/>
        <rFont val="WenQuanYi Zen Hei"/>
        <family val="2"/>
      </rPr>
      <t xml:space="preserve">分析</t>
    </r>
    <r>
      <rPr>
        <sz val="10"/>
        <rFont val="Arial"/>
        <family val="0"/>
        <charset val="1"/>
      </rPr>
      <t xml:space="preserve">)</t>
    </r>
  </si>
  <si>
    <r>
      <rPr>
        <sz val="10"/>
        <rFont val="Arial"/>
        <family val="0"/>
        <charset val="1"/>
      </rPr>
      <t xml:space="preserve">Research Purpose </t>
    </r>
    <r>
      <rPr>
        <sz val="10"/>
        <rFont val="WenQuanYi Zen Hei"/>
        <family val="2"/>
      </rPr>
      <t xml:space="preserve">前的综合句与缺口</t>
    </r>
  </si>
  <si>
    <t xml:space="preserve">"Your problem is simply not newcomer families face barriers or access, rather your problem is we do not understand how newcomer families move from learning about the resource [to] actually using it and how educator interactions... You could place something like before your research purpose, 'collectively research suggests that access to services is a multi-stage process'... Most studies are international, small scale, focus on specific barrier, focus on service use at a single point. You have very few studies examining newcomer families, family support services, educators interaction... within Toronto child care center."</t>
  </si>
  <si>
    <t xml:space="preserve">缺口方向：多数研究在国外、样本小、只看单一障碍或单一时间点；多伦多托育中心内的研究很少。</t>
  </si>
  <si>
    <r>
      <rPr>
        <sz val="10"/>
        <rFont val="WenQuanYi Zen Hei"/>
        <family val="2"/>
      </rPr>
      <t xml:space="preserve">在 </t>
    </r>
    <r>
      <rPr>
        <sz val="10"/>
        <rFont val="Arial"/>
        <family val="0"/>
        <charset val="1"/>
      </rPr>
      <t xml:space="preserve">Research Purpose </t>
    </r>
    <r>
      <rPr>
        <sz val="10"/>
        <rFont val="WenQuanYi Zen Hei"/>
        <family val="2"/>
      </rPr>
      <t xml:space="preserve">前加一句综合加缺口。可写 </t>
    </r>
    <r>
      <rPr>
        <sz val="10"/>
        <rFont val="Arial"/>
        <family val="0"/>
        <charset val="1"/>
      </rPr>
      <t xml:space="preserve">"none of the reviewed studies was conducted in Toronto" (</t>
    </r>
    <r>
      <rPr>
        <sz val="10"/>
        <rFont val="WenQuanYi Zen Hei"/>
        <family val="2"/>
      </rPr>
      <t xml:space="preserve">已核对 </t>
    </r>
    <r>
      <rPr>
        <sz val="10"/>
        <rFont val="Arial"/>
        <family val="0"/>
        <charset val="1"/>
      </rPr>
      <t xml:space="preserve">17 </t>
    </r>
    <r>
      <rPr>
        <sz val="10"/>
        <rFont val="WenQuanYi Zen Hei"/>
        <family val="2"/>
      </rPr>
      <t xml:space="preserve">篇</t>
    </r>
    <r>
      <rPr>
        <sz val="10"/>
        <rFont val="Arial"/>
        <family val="0"/>
        <charset val="1"/>
      </rPr>
      <t xml:space="preserve">)</t>
    </r>
    <r>
      <rPr>
        <sz val="10"/>
        <rFont val="WenQuanYi Zen Hei"/>
        <family val="2"/>
      </rPr>
      <t xml:space="preserve">；不要写 </t>
    </r>
    <r>
      <rPr>
        <sz val="10"/>
        <rFont val="Arial"/>
        <family val="0"/>
        <charset val="1"/>
      </rPr>
      <t xml:space="preserve">"very few studies"</t>
    </r>
    <r>
      <rPr>
        <sz val="10"/>
        <rFont val="WenQuanYi Zen Hei"/>
        <family val="2"/>
      </rPr>
      <t xml:space="preserve">，除非做过广泛检索。</t>
    </r>
    <r>
      <rPr>
        <sz val="10"/>
        <rFont val="Arial"/>
        <family val="0"/>
        <charset val="1"/>
      </rPr>
      <t xml:space="preserve">Finno-Velasquez (2025, p. 10) </t>
    </r>
    <r>
      <rPr>
        <sz val="10"/>
        <rFont val="WenQuanYi Zen Hei"/>
        <family val="2"/>
      </rPr>
      <t xml:space="preserve">可作为“单一时间点”例子。</t>
    </r>
  </si>
  <si>
    <t xml:space="preserve">Finno-Velasquez (2025); Miles (2026, p. 202)</t>
  </si>
  <si>
    <t xml:space="preserve">F29</t>
  </si>
  <si>
    <t xml:space="preserve">52:19-53:14</t>
  </si>
  <si>
    <r>
      <rPr>
        <sz val="10"/>
        <rFont val="Arial"/>
        <family val="0"/>
        <charset val="1"/>
      </rPr>
      <t xml:space="preserve">Gap </t>
    </r>
    <r>
      <rPr>
        <sz val="10"/>
        <rFont val="WenQuanYi Zen Hei"/>
        <family val="2"/>
      </rPr>
      <t xml:space="preserve">与 </t>
    </r>
    <r>
      <rPr>
        <sz val="10"/>
        <rFont val="Arial"/>
        <family val="0"/>
        <charset val="1"/>
      </rPr>
      <t xml:space="preserve">RQ</t>
    </r>
  </si>
  <si>
    <t xml:space="preserve">"Okay, so your research really follows the entire pathway from educator support, family decision, service utilization. This becomes your research gap. So you need to work on tying things back... to your research gap and your research problem."</t>
  </si>
  <si>
    <r>
      <rPr>
        <sz val="10"/>
        <rFont val="WenQuanYi Zen Hei"/>
        <family val="2"/>
      </rPr>
      <t xml:space="preserve">缺口 </t>
    </r>
    <r>
      <rPr>
        <sz val="10"/>
        <rFont val="Arial"/>
        <family val="0"/>
        <charset val="1"/>
      </rPr>
      <t xml:space="preserve">= </t>
    </r>
    <r>
      <rPr>
        <sz val="10"/>
        <rFont val="WenQuanYi Zen Hei"/>
        <family val="2"/>
      </rPr>
      <t xml:space="preserve">教育者支持 → 家庭决定 → 服务使用。</t>
    </r>
  </si>
  <si>
    <r>
      <rPr>
        <sz val="10"/>
        <rFont val="Arial"/>
        <family val="0"/>
        <charset val="1"/>
      </rPr>
      <t xml:space="preserve">RQ </t>
    </r>
    <r>
      <rPr>
        <sz val="10"/>
        <rFont val="WenQuanYi Zen Hei"/>
        <family val="2"/>
      </rPr>
      <t xml:space="preserve">与缺口对齐：理解 → 支持 → 使用。注意 </t>
    </r>
    <r>
      <rPr>
        <sz val="10"/>
        <rFont val="Arial"/>
        <family val="0"/>
        <charset val="1"/>
      </rPr>
      <t xml:space="preserve">"pathway" </t>
    </r>
    <r>
      <rPr>
        <sz val="10"/>
        <rFont val="WenQuanYi Zen Hei"/>
        <family val="2"/>
      </rPr>
      <t xml:space="preserve">是本项目的限制用词，用 </t>
    </r>
    <r>
      <rPr>
        <sz val="10"/>
        <rFont val="Arial"/>
        <family val="0"/>
        <charset val="1"/>
      </rPr>
      <t xml:space="preserve">"process" </t>
    </r>
    <r>
      <rPr>
        <sz val="10"/>
        <rFont val="WenQuanYi Zen Hei"/>
        <family val="2"/>
      </rPr>
      <t xml:space="preserve">或 </t>
    </r>
    <r>
      <rPr>
        <sz val="10"/>
        <rFont val="Arial"/>
        <family val="0"/>
        <charset val="1"/>
      </rPr>
      <t xml:space="preserve">"from ... to ..." </t>
    </r>
    <r>
      <rPr>
        <sz val="10"/>
        <rFont val="WenQuanYi Zen Hei"/>
        <family val="2"/>
      </rPr>
      <t xml:space="preserve">表达。</t>
    </r>
  </si>
  <si>
    <t xml:space="preserve">F30</t>
  </si>
  <si>
    <t xml:space="preserve">52:39-53:14</t>
  </si>
  <si>
    <t xml:space="preserve">"Before you start writing, put a clean version of your paper in Copilot or whatever you're using to do the analysis and show you the potential area that you need to work on."</t>
  </si>
  <si>
    <r>
      <rPr>
        <sz val="10"/>
        <rFont val="WenQuanYi Zen Hei"/>
        <family val="2"/>
      </rPr>
      <t xml:space="preserve">先做干净版，再做 </t>
    </r>
    <r>
      <rPr>
        <sz val="10"/>
        <rFont val="Arial"/>
        <family val="0"/>
        <charset val="1"/>
      </rPr>
      <t xml:space="preserve">AI </t>
    </r>
    <r>
      <rPr>
        <sz val="10"/>
        <rFont val="WenQuanYi Zen Hei"/>
        <family val="2"/>
      </rPr>
      <t xml:space="preserve">相关性检查。</t>
    </r>
  </si>
  <si>
    <t xml:space="preserve">先删除全部红字、划线、批注和中间版本，再整体自查。</t>
  </si>
  <si>
    <t xml:space="preserve">F31</t>
  </si>
  <si>
    <t xml:space="preserve">53:49-53:55</t>
  </si>
  <si>
    <t xml:space="preserve">截止日期</t>
  </si>
  <si>
    <t xml:space="preserve">Student: "due date is a Friday for next Friday, right?" Prof: "Yes."</t>
  </si>
  <si>
    <r>
      <rPr>
        <sz val="10"/>
        <rFont val="WenQuanYi Zen Hei"/>
        <family val="2"/>
      </rPr>
      <t xml:space="preserve">截止：</t>
    </r>
    <r>
      <rPr>
        <sz val="10"/>
        <rFont val="Arial"/>
        <family val="0"/>
        <charset val="1"/>
      </rPr>
      <t xml:space="preserve">2026 </t>
    </r>
    <r>
      <rPr>
        <sz val="10"/>
        <rFont val="WenQuanYi Zen Hei"/>
        <family val="2"/>
      </rPr>
      <t xml:space="preserve">年 </t>
    </r>
    <r>
      <rPr>
        <sz val="10"/>
        <rFont val="Arial"/>
        <family val="0"/>
        <charset val="1"/>
      </rPr>
      <t xml:space="preserve">10 </t>
    </r>
    <r>
      <rPr>
        <sz val="10"/>
        <rFont val="WenQuanYi Zen Hei"/>
        <family val="2"/>
      </rPr>
      <t xml:space="preserve">月 </t>
    </r>
    <r>
      <rPr>
        <sz val="10"/>
        <rFont val="Arial"/>
        <family val="0"/>
        <charset val="1"/>
      </rPr>
      <t xml:space="preserve">16 </t>
    </r>
    <r>
      <rPr>
        <sz val="10"/>
        <rFont val="WenQuanYi Zen Hei"/>
        <family val="2"/>
      </rPr>
      <t xml:space="preserve">日 </t>
    </r>
    <r>
      <rPr>
        <sz val="10"/>
        <rFont val="Arial"/>
        <family val="0"/>
        <charset val="1"/>
      </rPr>
      <t xml:space="preserve">(</t>
    </r>
    <r>
      <rPr>
        <sz val="10"/>
        <rFont val="WenQuanYi Zen Hei"/>
        <family val="2"/>
      </rPr>
      <t xml:space="preserve">周五</t>
    </r>
    <r>
      <rPr>
        <sz val="10"/>
        <rFont val="Arial"/>
        <family val="0"/>
        <charset val="1"/>
      </rPr>
      <t xml:space="preserve">) 11:59 pm</t>
    </r>
    <r>
      <rPr>
        <sz val="10"/>
        <rFont val="WenQuanYi Zen Hei"/>
        <family val="2"/>
      </rPr>
      <t xml:space="preserve">。</t>
    </r>
  </si>
  <si>
    <t xml:space="preserve">部分</t>
  </si>
  <si>
    <r>
      <rPr>
        <b val="true"/>
        <sz val="10"/>
        <color rgb="FFFFFFFF"/>
        <rFont val="WenQuanYi Zen Hei"/>
        <family val="2"/>
      </rPr>
      <t xml:space="preserve">段落功能 </t>
    </r>
    <r>
      <rPr>
        <b val="true"/>
        <sz val="10"/>
        <color rgb="FFFFFFFF"/>
        <rFont val="Arial"/>
        <family val="0"/>
        <charset val="1"/>
      </rPr>
      <t xml:space="preserve">(Week 5 </t>
    </r>
    <r>
      <rPr>
        <b val="true"/>
        <sz val="10"/>
        <color rgb="FFFFFFFF"/>
        <rFont val="WenQuanYi Zen Hei"/>
        <family val="2"/>
      </rPr>
      <t xml:space="preserve">结构</t>
    </r>
    <r>
      <rPr>
        <b val="true"/>
        <sz val="10"/>
        <color rgb="FFFFFFFF"/>
        <rFont val="Arial"/>
        <family val="0"/>
        <charset val="1"/>
      </rPr>
      <t xml:space="preserve">)</t>
    </r>
  </si>
  <si>
    <r>
      <rPr>
        <b val="true"/>
        <sz val="10"/>
        <color rgb="FFFFFFFF"/>
        <rFont val="WenQuanYi Zen Hei"/>
        <family val="2"/>
      </rPr>
      <t xml:space="preserve">要写什么 </t>
    </r>
    <r>
      <rPr>
        <b val="true"/>
        <sz val="10"/>
        <color rgb="FFFFFFFF"/>
        <rFont val="Arial"/>
        <family val="0"/>
        <charset val="1"/>
      </rPr>
      <t xml:space="preserve">(</t>
    </r>
    <r>
      <rPr>
        <b val="true"/>
        <sz val="10"/>
        <color rgb="FFFFFFFF"/>
        <rFont val="WenQuanYi Zen Hei"/>
        <family val="2"/>
      </rPr>
      <t xml:space="preserve">中文说明</t>
    </r>
    <r>
      <rPr>
        <b val="true"/>
        <sz val="10"/>
        <color rgb="FFFFFFFF"/>
        <rFont val="Arial"/>
        <family val="0"/>
        <charset val="1"/>
      </rPr>
      <t xml:space="preserve">)</t>
    </r>
  </si>
  <si>
    <r>
      <rPr>
        <b val="true"/>
        <sz val="10"/>
        <color rgb="FFFFFFFF"/>
        <rFont val="WenQuanYi Zen Hei"/>
        <family val="2"/>
      </rPr>
      <t xml:space="preserve">可用证据 </t>
    </r>
    <r>
      <rPr>
        <b val="true"/>
        <sz val="10"/>
        <color rgb="FFFFFFFF"/>
        <rFont val="Arial"/>
        <family val="0"/>
        <charset val="1"/>
      </rPr>
      <t xml:space="preserve">(</t>
    </r>
    <r>
      <rPr>
        <b val="true"/>
        <sz val="10"/>
        <color rgb="FFFFFFFF"/>
        <rFont val="WenQuanYi Zen Hei"/>
        <family val="2"/>
      </rPr>
      <t xml:space="preserve">已核对页码</t>
    </r>
    <r>
      <rPr>
        <b val="true"/>
        <sz val="10"/>
        <color rgb="FFFFFFFF"/>
        <rFont val="Arial"/>
        <family val="0"/>
        <charset val="1"/>
      </rPr>
      <t xml:space="preserve">)</t>
    </r>
  </si>
  <si>
    <r>
      <rPr>
        <b val="true"/>
        <sz val="10"/>
        <color rgb="FFFFFFFF"/>
        <rFont val="WenQuanYi Zen Hei"/>
        <family val="2"/>
      </rPr>
      <t xml:space="preserve">加拿大 </t>
    </r>
    <r>
      <rPr>
        <b val="true"/>
        <sz val="10"/>
        <color rgb="FFFFFFFF"/>
        <rFont val="Arial"/>
        <family val="0"/>
        <charset val="1"/>
      </rPr>
      <t xml:space="preserve">/ </t>
    </r>
    <r>
      <rPr>
        <b val="true"/>
        <sz val="10"/>
        <color rgb="FFFFFFFF"/>
        <rFont val="WenQuanYi Zen Hei"/>
        <family val="2"/>
      </rPr>
      <t xml:space="preserve">安省锚点</t>
    </r>
  </si>
  <si>
    <t xml:space="preserve">删掉的内容</t>
  </si>
  <si>
    <t xml:space="preserve">对应教授意见</t>
  </si>
  <si>
    <r>
      <rPr>
        <sz val="10"/>
        <rFont val="WenQuanYi Zen Hei"/>
        <family val="2"/>
      </rPr>
      <t xml:space="preserve">论点 </t>
    </r>
    <r>
      <rPr>
        <sz val="10"/>
        <rFont val="Arial"/>
        <family val="0"/>
        <charset val="1"/>
      </rPr>
      <t xml:space="preserve">(Thesis)</t>
    </r>
  </si>
  <si>
    <t xml:space="preserve">全文主线</t>
  </si>
  <si>
    <r>
      <rPr>
        <sz val="10"/>
        <rFont val="WenQuanYi Zen Hei"/>
        <family val="2"/>
      </rPr>
      <t xml:space="preserve">教授当场改写的论点 </t>
    </r>
    <r>
      <rPr>
        <sz val="10"/>
        <rFont val="Arial"/>
        <family val="0"/>
        <charset val="1"/>
      </rPr>
      <t xml:space="preserve">(F11)</t>
    </r>
    <r>
      <rPr>
        <sz val="10"/>
        <rFont val="WenQuanYi Zen Hei"/>
        <family val="2"/>
      </rPr>
      <t xml:space="preserve">，修过语法：</t>
    </r>
    <r>
      <rPr>
        <sz val="10"/>
        <rFont val="Arial"/>
        <family val="0"/>
        <charset val="1"/>
      </rPr>
      <t xml:space="preserve">"This review explores how newcomer families' limited understanding of child care resources and services limits their use of and benefit from these services." </t>
    </r>
    <r>
      <rPr>
        <sz val="10"/>
        <rFont val="WenQuanYi Zen Hei"/>
        <family val="2"/>
      </rPr>
      <t xml:space="preserve">每段都要回扣这一句。</t>
    </r>
  </si>
  <si>
    <r>
      <rPr>
        <sz val="10"/>
        <rFont val="WenQuanYi Zen Hei"/>
        <family val="2"/>
      </rPr>
      <t xml:space="preserve">旧论点：</t>
    </r>
    <r>
      <rPr>
        <sz val="10"/>
        <rFont val="Arial"/>
        <family val="0"/>
        <charset val="1"/>
      </rPr>
      <t xml:space="preserve">policy → institution → family → educator </t>
    </r>
    <r>
      <rPr>
        <sz val="10"/>
        <rFont val="WenQuanYi Zen Hei"/>
        <family val="2"/>
      </rPr>
      <t xml:space="preserve">四段式</t>
    </r>
  </si>
  <si>
    <t xml:space="preserve">F11, F26</t>
  </si>
  <si>
    <t xml:space="preserve">Introduction</t>
  </si>
  <si>
    <r>
      <rPr>
        <sz val="10"/>
        <rFont val="Arial"/>
        <family val="0"/>
        <charset val="1"/>
      </rPr>
      <t xml:space="preserve">1 </t>
    </r>
    <r>
      <rPr>
        <sz val="10"/>
        <rFont val="WenQuanYi Zen Hei"/>
        <family val="2"/>
      </rPr>
      <t xml:space="preserve">大背景 </t>
    </r>
    <r>
      <rPr>
        <sz val="10"/>
        <rFont val="Arial"/>
        <family val="0"/>
        <charset val="1"/>
      </rPr>
      <t xml:space="preserve">(broad context)</t>
    </r>
  </si>
  <si>
    <r>
      <rPr>
        <sz val="10"/>
        <rFont val="WenQuanYi Zen Hei"/>
        <family val="2"/>
      </rPr>
      <t xml:space="preserve">安省正在推行 </t>
    </r>
    <r>
      <rPr>
        <sz val="10"/>
        <rFont val="Arial"/>
        <family val="0"/>
        <charset val="1"/>
      </rPr>
      <t xml:space="preserve">CWELCC</t>
    </r>
    <r>
      <rPr>
        <sz val="10"/>
        <rFont val="WenQuanYi Zen Hei"/>
        <family val="2"/>
      </rPr>
      <t xml:space="preserve">，让托育更便宜、更容易获得。</t>
    </r>
  </si>
  <si>
    <r>
      <rPr>
        <sz val="10"/>
        <rFont val="Arial"/>
        <family val="0"/>
        <charset val="1"/>
      </rPr>
      <t xml:space="preserve">Government of Canada &amp; Government of Ontario (2022) (</t>
    </r>
    <r>
      <rPr>
        <sz val="10"/>
        <rFont val="WenQuanYi Zen Hei"/>
        <family val="2"/>
      </rPr>
      <t xml:space="preserve">不写页码</t>
    </r>
    <r>
      <rPr>
        <sz val="10"/>
        <rFont val="Arial"/>
        <family val="0"/>
        <charset val="1"/>
      </rPr>
      <t xml:space="preserve">)</t>
    </r>
  </si>
  <si>
    <t xml:space="preserve">联邦与安省协议</t>
  </si>
  <si>
    <r>
      <rPr>
        <sz val="10"/>
        <rFont val="Arial"/>
        <family val="0"/>
        <charset val="1"/>
      </rPr>
      <t xml:space="preserve">Gagné Petteni </t>
    </r>
    <r>
      <rPr>
        <sz val="10"/>
        <rFont val="WenQuanYi Zen Hei"/>
        <family val="2"/>
      </rPr>
      <t xml:space="preserve">的 </t>
    </r>
    <r>
      <rPr>
        <sz val="10"/>
        <rFont val="Arial"/>
        <family val="0"/>
        <charset val="1"/>
      </rPr>
      <t xml:space="preserve">BC </t>
    </r>
    <r>
      <rPr>
        <sz val="10"/>
        <rFont val="WenQuanYi Zen Hei"/>
        <family val="2"/>
      </rPr>
      <t xml:space="preserve">入学准备数据 </t>
    </r>
    <r>
      <rPr>
        <sz val="10"/>
        <rFont val="Arial"/>
        <family val="0"/>
        <charset val="1"/>
      </rPr>
      <t xml:space="preserve">(</t>
    </r>
    <r>
      <rPr>
        <sz val="10"/>
        <rFont val="WenQuanYi Zen Hei"/>
        <family val="2"/>
      </rPr>
      <t xml:space="preserve">已划掉</t>
    </r>
    <r>
      <rPr>
        <sz val="10"/>
        <rFont val="Arial"/>
        <family val="0"/>
        <charset val="1"/>
      </rPr>
      <t xml:space="preserve">)</t>
    </r>
  </si>
  <si>
    <t xml:space="preserve">F04, F05</t>
  </si>
  <si>
    <r>
      <rPr>
        <sz val="10"/>
        <rFont val="Arial"/>
        <family val="0"/>
        <charset val="1"/>
      </rPr>
      <t xml:space="preserve">2 </t>
    </r>
    <r>
      <rPr>
        <sz val="10"/>
        <rFont val="WenQuanYi Zen Hei"/>
        <family val="2"/>
      </rPr>
      <t xml:space="preserve">聚焦多伦多新移民 </t>
    </r>
    <r>
      <rPr>
        <sz val="10"/>
        <rFont val="Arial"/>
        <family val="0"/>
        <charset val="1"/>
      </rPr>
      <t xml:space="preserve">(narrow focus)</t>
    </r>
  </si>
  <si>
    <r>
      <rPr>
        <sz val="10"/>
        <rFont val="WenQuanYi Zen Hei"/>
        <family val="2"/>
      </rPr>
      <t xml:space="preserve">为什么这对多伦多新移民家庭特别重要，必须有来源 </t>
    </r>
    <r>
      <rPr>
        <sz val="10"/>
        <rFont val="Arial"/>
        <family val="0"/>
        <charset val="1"/>
      </rPr>
      <t xml:space="preserve">(F02)</t>
    </r>
    <r>
      <rPr>
        <sz val="10"/>
        <rFont val="WenQuanYi Zen Hei"/>
        <family val="2"/>
      </rPr>
      <t xml:space="preserve">。</t>
    </r>
  </si>
  <si>
    <r>
      <rPr>
        <sz val="10"/>
        <rFont val="Arial"/>
        <family val="0"/>
        <charset val="1"/>
      </rPr>
      <t xml:space="preserve">Toronto Children's Services (2025, p. 27)</t>
    </r>
    <r>
      <rPr>
        <sz val="10"/>
        <rFont val="WenQuanYi Zen Hei"/>
        <family val="2"/>
      </rPr>
      <t xml:space="preserve">；</t>
    </r>
    <r>
      <rPr>
        <sz val="10"/>
        <rFont val="Arial"/>
        <family val="0"/>
        <charset val="1"/>
      </rPr>
      <t xml:space="preserve">Ontario Ministry of Education (2023, p. 17 </t>
    </r>
    <r>
      <rPr>
        <sz val="10"/>
        <rFont val="WenQuanYi Zen Hei"/>
        <family val="2"/>
      </rPr>
      <t xml:space="preserve">待核</t>
    </r>
    <r>
      <rPr>
        <sz val="10"/>
        <rFont val="Arial"/>
        <family val="0"/>
        <charset val="1"/>
      </rPr>
      <t xml:space="preserve">)</t>
    </r>
  </si>
  <si>
    <t xml:space="preserve">多伦多、安省政策</t>
  </si>
  <si>
    <r>
      <rPr>
        <sz val="10"/>
        <rFont val="WenQuanYi Zen Hei"/>
        <family val="2"/>
      </rPr>
      <t xml:space="preserve">无来源的 </t>
    </r>
    <r>
      <rPr>
        <sz val="10"/>
        <rFont val="Arial"/>
        <family val="0"/>
        <charset val="1"/>
      </rPr>
      <t xml:space="preserve">"there are more newcomer children..."</t>
    </r>
  </si>
  <si>
    <r>
      <rPr>
        <sz val="10"/>
        <rFont val="Arial"/>
        <family val="0"/>
        <charset val="1"/>
      </rPr>
      <t xml:space="preserve">3 </t>
    </r>
    <r>
      <rPr>
        <sz val="10"/>
        <rFont val="WenQuanYi Zen Hei"/>
        <family val="2"/>
      </rPr>
      <t xml:space="preserve">关键概念 </t>
    </r>
    <r>
      <rPr>
        <sz val="10"/>
        <rFont val="Arial"/>
        <family val="0"/>
        <charset val="1"/>
      </rPr>
      <t xml:space="preserve">(key concepts)</t>
    </r>
  </si>
  <si>
    <r>
      <rPr>
        <sz val="10"/>
        <rFont val="Arial"/>
        <family val="0"/>
        <charset val="1"/>
      </rPr>
      <t xml:space="preserve">newcomer families </t>
    </r>
    <r>
      <rPr>
        <sz val="10"/>
        <rFont val="WenQuanYi Zen Hei"/>
        <family val="2"/>
      </rPr>
      <t xml:space="preserve">的定义；写明资源类型 </t>
    </r>
    <r>
      <rPr>
        <sz val="10"/>
        <rFont val="Arial"/>
        <family val="0"/>
        <charset val="1"/>
      </rPr>
      <t xml:space="preserve">(F06)</t>
    </r>
    <r>
      <rPr>
        <sz val="10"/>
        <rFont val="WenQuanYi Zen Hei"/>
        <family val="2"/>
      </rPr>
      <t xml:space="preserve">；区分 </t>
    </r>
    <r>
      <rPr>
        <sz val="10"/>
        <rFont val="Arial"/>
        <family val="0"/>
        <charset val="1"/>
      </rPr>
      <t xml:space="preserve">access </t>
    </r>
    <r>
      <rPr>
        <sz val="10"/>
        <rFont val="WenQuanYi Zen Hei"/>
        <family val="2"/>
      </rPr>
      <t xml:space="preserve">和 </t>
    </r>
    <r>
      <rPr>
        <sz val="10"/>
        <rFont val="Arial"/>
        <family val="0"/>
        <charset val="1"/>
      </rPr>
      <t xml:space="preserve">use</t>
    </r>
    <r>
      <rPr>
        <sz val="10"/>
        <rFont val="WenQuanYi Zen Hei"/>
        <family val="2"/>
      </rPr>
      <t xml:space="preserve">：知道、可得 ≠ 会用来满足需要 </t>
    </r>
    <r>
      <rPr>
        <sz val="10"/>
        <rFont val="Arial"/>
        <family val="0"/>
        <charset val="1"/>
      </rPr>
      <t xml:space="preserve">(F07, F08)</t>
    </r>
    <r>
      <rPr>
        <sz val="10"/>
        <rFont val="WenQuanYi Zen Hei"/>
        <family val="2"/>
      </rPr>
      <t xml:space="preserve">。</t>
    </r>
  </si>
  <si>
    <r>
      <rPr>
        <sz val="10"/>
        <rFont val="Arial"/>
        <family val="0"/>
        <charset val="1"/>
      </rPr>
      <t xml:space="preserve">Miles et al. (2026, p. 186) </t>
    </r>
    <r>
      <rPr>
        <sz val="10"/>
        <rFont val="WenQuanYi Zen Hei"/>
        <family val="2"/>
      </rPr>
      <t xml:space="preserve">定义</t>
    </r>
  </si>
  <si>
    <r>
      <rPr>
        <sz val="10"/>
        <rFont val="WenQuanYi Zen Hei"/>
        <family val="2"/>
      </rPr>
      <t xml:space="preserve">资源类型用安省名称：</t>
    </r>
    <r>
      <rPr>
        <sz val="10"/>
        <rFont val="Arial"/>
        <family val="0"/>
        <charset val="1"/>
      </rPr>
      <t xml:space="preserve">CWELCC fee reductions</t>
    </r>
    <r>
      <rPr>
        <sz val="10"/>
        <rFont val="WenQuanYi Zen Hei"/>
        <family val="2"/>
      </rPr>
      <t xml:space="preserve">、</t>
    </r>
    <r>
      <rPr>
        <sz val="10"/>
        <rFont val="Arial"/>
        <family val="0"/>
        <charset val="1"/>
      </rPr>
      <t xml:space="preserve">fee subsidies</t>
    </r>
    <r>
      <rPr>
        <sz val="10"/>
        <rFont val="WenQuanYi Zen Hei"/>
        <family val="2"/>
      </rPr>
      <t xml:space="preserve">、</t>
    </r>
    <r>
      <rPr>
        <sz val="10"/>
        <rFont val="Arial"/>
        <family val="0"/>
        <charset val="1"/>
      </rPr>
      <t xml:space="preserve">EarlyON</t>
    </r>
  </si>
  <si>
    <r>
      <rPr>
        <sz val="10"/>
        <rFont val="Arial"/>
        <family val="0"/>
        <charset val="1"/>
      </rPr>
      <t xml:space="preserve">"resources" </t>
    </r>
    <r>
      <rPr>
        <sz val="10"/>
        <rFont val="WenQuanYi Zen Hei"/>
        <family val="2"/>
      </rPr>
      <t xml:space="preserve">不写类型</t>
    </r>
  </si>
  <si>
    <t xml:space="preserve">F06, F07, F08</t>
  </si>
  <si>
    <r>
      <rPr>
        <sz val="10"/>
        <rFont val="Arial"/>
        <family val="0"/>
        <charset val="1"/>
      </rPr>
      <t xml:space="preserve">4 </t>
    </r>
    <r>
      <rPr>
        <sz val="10"/>
        <rFont val="WenQuanYi Zen Hei"/>
        <family val="2"/>
      </rPr>
      <t xml:space="preserve">缺口预告 </t>
    </r>
    <r>
      <rPr>
        <sz val="10"/>
        <rFont val="Arial"/>
        <family val="0"/>
        <charset val="1"/>
      </rPr>
      <t xml:space="preserve">+ </t>
    </r>
    <r>
      <rPr>
        <sz val="10"/>
        <rFont val="WenQuanYi Zen Hei"/>
        <family val="2"/>
      </rPr>
      <t xml:space="preserve">目的 </t>
    </r>
    <r>
      <rPr>
        <sz val="10"/>
        <rFont val="Arial"/>
        <family val="0"/>
        <charset val="1"/>
      </rPr>
      <t xml:space="preserve">+ </t>
    </r>
    <r>
      <rPr>
        <sz val="10"/>
        <rFont val="WenQuanYi Zen Hei"/>
        <family val="2"/>
      </rPr>
      <t xml:space="preserve">主题预告</t>
    </r>
  </si>
  <si>
    <r>
      <rPr>
        <sz val="10"/>
        <rFont val="WenQuanYi Zen Hei"/>
        <family val="2"/>
      </rPr>
      <t xml:space="preserve">论点句，再加三个主题的预告 </t>
    </r>
    <r>
      <rPr>
        <sz val="10"/>
        <rFont val="Arial"/>
        <family val="0"/>
        <charset val="1"/>
      </rPr>
      <t xml:space="preserve">(</t>
    </r>
    <r>
      <rPr>
        <sz val="10"/>
        <rFont val="WenQuanYi Zen Hei"/>
        <family val="2"/>
      </rPr>
      <t xml:space="preserve">用三个新主题名</t>
    </r>
    <r>
      <rPr>
        <sz val="10"/>
        <rFont val="Arial"/>
        <family val="0"/>
        <charset val="1"/>
      </rPr>
      <t xml:space="preserve">)</t>
    </r>
    <r>
      <rPr>
        <sz val="10"/>
        <rFont val="WenQuanYi Zen Hei"/>
        <family val="2"/>
      </rPr>
      <t xml:space="preserve">。</t>
    </r>
  </si>
  <si>
    <t xml:space="preserve">"examines how policies are understood and implemented"</t>
  </si>
  <si>
    <t xml:space="preserve">F04, F11</t>
  </si>
  <si>
    <r>
      <rPr>
        <sz val="10"/>
        <rFont val="Arial"/>
        <family val="0"/>
        <charset val="1"/>
      </rPr>
      <t xml:space="preserve">Theme 1</t>
    </r>
    <r>
      <rPr>
        <sz val="10"/>
        <rFont val="WenQuanYi Zen Hei"/>
        <family val="2"/>
      </rPr>
      <t xml:space="preserve">：</t>
    </r>
    <r>
      <rPr>
        <sz val="10"/>
        <rFont val="Arial"/>
        <family val="0"/>
        <charset val="1"/>
      </rPr>
      <t xml:space="preserve">Newcomer Families Lack a Nuanced Understanding of How to Use Services</t>
    </r>
  </si>
  <si>
    <t xml:space="preserve">Topic sentence</t>
  </si>
  <si>
    <r>
      <rPr>
        <sz val="10"/>
        <rFont val="WenQuanYi Zen Hei"/>
        <family val="2"/>
      </rPr>
      <t xml:space="preserve">教授句修语法：</t>
    </r>
    <r>
      <rPr>
        <sz val="10"/>
        <rFont val="Arial"/>
        <family val="0"/>
        <charset val="1"/>
      </rPr>
      <t xml:space="preserve">newcomer families may know that services exist, but they lack a nuanced understanding of what the services offer, whether they qualify, and how to use them to meet their needs</t>
    </r>
    <r>
      <rPr>
        <sz val="10"/>
        <rFont val="WenQuanYi Zen Hei"/>
        <family val="2"/>
      </rPr>
      <t xml:space="preserve">。</t>
    </r>
  </si>
  <si>
    <t xml:space="preserve">"they simply don't know what's out there" (F07)</t>
  </si>
  <si>
    <t xml:space="preserve">F07, F12</t>
  </si>
  <si>
    <t xml:space="preserve">Theme 1</t>
  </si>
  <si>
    <r>
      <rPr>
        <sz val="10"/>
        <rFont val="Arial"/>
        <family val="0"/>
        <charset val="1"/>
      </rPr>
      <t xml:space="preserve">Evidence 1 (</t>
    </r>
    <r>
      <rPr>
        <sz val="10"/>
        <rFont val="WenQuanYi Zen Hei"/>
        <family val="2"/>
      </rPr>
      <t xml:space="preserve">加拿大</t>
    </r>
    <r>
      <rPr>
        <sz val="10"/>
        <rFont val="Arial"/>
        <family val="0"/>
        <charset val="1"/>
      </rPr>
      <t xml:space="preserve">)</t>
    </r>
  </si>
  <si>
    <r>
      <rPr>
        <sz val="10"/>
        <rFont val="WenQuanYi Zen Hei"/>
        <family val="2"/>
      </rPr>
      <t xml:space="preserve">多数家长听说过 </t>
    </r>
    <r>
      <rPr>
        <sz val="10"/>
        <rFont val="Arial"/>
        <family val="0"/>
        <charset val="1"/>
      </rPr>
      <t xml:space="preserve">CWELCC</t>
    </r>
    <r>
      <rPr>
        <sz val="10"/>
        <rFont val="WenQuanYi Zen Hei"/>
        <family val="2"/>
      </rPr>
      <t xml:space="preserve">，但许多人信息错误、有限或没有 → 加解释句：这限制了家长理解如何使用 </t>
    </r>
    <r>
      <rPr>
        <sz val="10"/>
        <rFont val="Arial"/>
        <family val="0"/>
        <charset val="1"/>
      </rPr>
      <t xml:space="preserve">(F09)</t>
    </r>
    <r>
      <rPr>
        <sz val="10"/>
        <rFont val="WenQuanYi Zen Hei"/>
        <family val="2"/>
      </rPr>
      <t xml:space="preserve">。写明一般样本。</t>
    </r>
  </si>
  <si>
    <t xml:space="preserve">加拿大四省</t>
  </si>
  <si>
    <r>
      <rPr>
        <sz val="10"/>
        <rFont val="Arial"/>
        <family val="0"/>
        <charset val="1"/>
      </rPr>
      <t xml:space="preserve">Evidence 2 + 3 (</t>
    </r>
    <r>
      <rPr>
        <sz val="10"/>
        <rFont val="WenQuanYi Zen Hei"/>
        <family val="2"/>
      </rPr>
      <t xml:space="preserve">不点名国家</t>
    </r>
    <r>
      <rPr>
        <sz val="10"/>
        <rFont val="Arial"/>
        <family val="0"/>
        <charset val="1"/>
      </rPr>
      <t xml:space="preserve">)</t>
    </r>
  </si>
  <si>
    <r>
      <rPr>
        <sz val="10"/>
        <rFont val="WenQuanYi Zen Hei"/>
        <family val="2"/>
      </rPr>
      <t xml:space="preserve">刚到的家庭不了解早期服务体系，不知道 </t>
    </r>
    <r>
      <rPr>
        <sz val="10"/>
        <rFont val="Arial"/>
        <family val="0"/>
        <charset val="1"/>
      </rPr>
      <t xml:space="preserve">copay </t>
    </r>
    <r>
      <rPr>
        <sz val="10"/>
        <rFont val="WenQuanYi Zen Hei"/>
        <family val="2"/>
      </rPr>
      <t xml:space="preserve">已免，听说过却以为自己不合格；有些家庭按过时的收入标准被告知不合格。</t>
    </r>
  </si>
  <si>
    <r>
      <rPr>
        <sz val="10"/>
        <rFont val="Arial"/>
        <family val="0"/>
        <charset val="1"/>
      </rPr>
      <t xml:space="preserve">Heinz, Bell, et al. (2025, pp. 398, 400)</t>
    </r>
    <r>
      <rPr>
        <sz val="10"/>
        <rFont val="WenQuanYi Zen Hei"/>
        <family val="2"/>
      </rPr>
      <t xml:space="preserve">；</t>
    </r>
    <r>
      <rPr>
        <sz val="10"/>
        <rFont val="Arial"/>
        <family val="0"/>
        <charset val="1"/>
      </rPr>
      <t xml:space="preserve">Heinz, Nava, et al. (2025, pp. 4–5)</t>
    </r>
  </si>
  <si>
    <r>
      <rPr>
        <sz val="10"/>
        <rFont val="WenQuanYi Zen Hei"/>
        <family val="2"/>
      </rPr>
      <t xml:space="preserve">多伦多锚点：</t>
    </r>
    <r>
      <rPr>
        <sz val="10"/>
        <rFont val="Arial"/>
        <family val="0"/>
        <charset val="1"/>
      </rPr>
      <t xml:space="preserve">Toronto Children's Services (2025) </t>
    </r>
    <r>
      <rPr>
        <sz val="10"/>
        <rFont val="WenQuanYi Zen Hei"/>
        <family val="2"/>
      </rPr>
      <t xml:space="preserve">中家长难以理解 </t>
    </r>
    <r>
      <rPr>
        <sz val="10"/>
        <rFont val="Arial"/>
        <family val="0"/>
        <charset val="1"/>
      </rPr>
      <t xml:space="preserve">EarlyON</t>
    </r>
    <r>
      <rPr>
        <sz val="10"/>
        <rFont val="WenQuanYi Zen Hei"/>
        <family val="2"/>
      </rPr>
      <t xml:space="preserve">、托育和补贴资格的信息 </t>
    </r>
    <r>
      <rPr>
        <sz val="10"/>
        <rFont val="Arial"/>
        <family val="0"/>
        <charset val="1"/>
      </rPr>
      <t xml:space="preserve">(</t>
    </r>
    <r>
      <rPr>
        <sz val="10"/>
        <rFont val="WenQuanYi Zen Hei"/>
        <family val="2"/>
      </rPr>
      <t xml:space="preserve">须在 </t>
    </r>
    <r>
      <rPr>
        <sz val="10"/>
        <rFont val="Arial"/>
        <family val="0"/>
        <charset val="1"/>
      </rPr>
      <t xml:space="preserve">PDF </t>
    </r>
    <r>
      <rPr>
        <sz val="10"/>
        <rFont val="WenQuanYi Zen Hei"/>
        <family val="2"/>
      </rPr>
      <t xml:space="preserve">里核页码</t>
    </r>
    <r>
      <rPr>
        <sz val="10"/>
        <rFont val="Arial"/>
        <family val="0"/>
        <charset val="1"/>
      </rPr>
      <t xml:space="preserve">)</t>
    </r>
    <r>
      <rPr>
        <sz val="10"/>
        <rFont val="WenQuanYi Zen Hei"/>
        <family val="2"/>
      </rPr>
      <t xml:space="preserve">；可加 </t>
    </r>
    <r>
      <rPr>
        <sz val="10"/>
        <rFont val="Arial"/>
        <family val="0"/>
        <charset val="1"/>
      </rPr>
      <t xml:space="preserve">Ajayi et al. (2026) </t>
    </r>
    <r>
      <rPr>
        <sz val="10"/>
        <rFont val="WenQuanYi Zen Hei"/>
        <family val="2"/>
      </rPr>
      <t xml:space="preserve">的安省证据 </t>
    </r>
    <r>
      <rPr>
        <sz val="10"/>
        <rFont val="Arial"/>
        <family val="0"/>
        <charset val="1"/>
      </rPr>
      <t xml:space="preserve">(</t>
    </r>
    <r>
      <rPr>
        <sz val="10"/>
        <rFont val="WenQuanYi Zen Hei"/>
        <family val="2"/>
      </rPr>
      <t xml:space="preserve">须先读全文</t>
    </r>
    <r>
      <rPr>
        <sz val="10"/>
        <rFont val="Arial"/>
        <family val="0"/>
        <charset val="1"/>
      </rPr>
      <t xml:space="preserve">)</t>
    </r>
  </si>
  <si>
    <r>
      <rPr>
        <sz val="10"/>
        <rFont val="Arial"/>
        <family val="0"/>
        <charset val="1"/>
      </rPr>
      <t xml:space="preserve">New Mexico</t>
    </r>
    <r>
      <rPr>
        <sz val="10"/>
        <rFont val="WenQuanYi Zen Hei"/>
        <family val="2"/>
      </rPr>
      <t xml:space="preserve">、</t>
    </r>
    <r>
      <rPr>
        <sz val="10"/>
        <rFont val="Arial"/>
        <family val="0"/>
        <charset val="1"/>
      </rPr>
      <t xml:space="preserve">400% FPL</t>
    </r>
    <r>
      <rPr>
        <sz val="10"/>
        <rFont val="WenQuanYi Zen Hei"/>
        <family val="2"/>
      </rPr>
      <t xml:space="preserve">、</t>
    </r>
    <r>
      <rPr>
        <sz val="10"/>
        <rFont val="Arial"/>
        <family val="0"/>
        <charset val="1"/>
      </rPr>
      <t xml:space="preserve">"exact same pattern"</t>
    </r>
  </si>
  <si>
    <t xml:space="preserve">F10, F13</t>
  </si>
  <si>
    <t xml:space="preserve">Contrast / connection</t>
  </si>
  <si>
    <r>
      <rPr>
        <sz val="10"/>
        <rFont val="WenQuanYi Zen Hei"/>
        <family val="2"/>
      </rPr>
      <t xml:space="preserve">比较：加拿大一般样本 </t>
    </r>
    <r>
      <rPr>
        <sz val="10"/>
        <rFont val="Arial"/>
        <family val="0"/>
        <charset val="1"/>
      </rPr>
      <t xml:space="preserve">vs </t>
    </r>
    <r>
      <rPr>
        <sz val="10"/>
        <rFont val="WenQuanYi Zen Hei"/>
        <family val="2"/>
      </rPr>
      <t xml:space="preserve">新移民样本，都显示“听说过 ≠ 理解如何使用”。可加一句：错过报名期也说明不了解制度。</t>
    </r>
  </si>
  <si>
    <r>
      <rPr>
        <sz val="10"/>
        <rFont val="Arial"/>
        <family val="0"/>
        <charset val="1"/>
      </rPr>
      <t xml:space="preserve">Loudová Stralczynská et al. (2025, p. 8) (</t>
    </r>
    <r>
      <rPr>
        <sz val="10"/>
        <rFont val="WenQuanYi Zen Hei"/>
        <family val="2"/>
      </rPr>
      <t xml:space="preserve">可选</t>
    </r>
    <r>
      <rPr>
        <sz val="10"/>
        <rFont val="Arial"/>
        <family val="0"/>
        <charset val="1"/>
      </rPr>
      <t xml:space="preserve">)</t>
    </r>
  </si>
  <si>
    <r>
      <rPr>
        <sz val="10"/>
        <rFont val="Arial"/>
        <family val="0"/>
        <charset val="1"/>
      </rPr>
      <t xml:space="preserve">Fakhari 2025 </t>
    </r>
    <r>
      <rPr>
        <sz val="10"/>
        <rFont val="WenQuanYi Zen Hei"/>
        <family val="2"/>
      </rPr>
      <t xml:space="preserve">许可证、经费句；</t>
    </r>
    <r>
      <rPr>
        <sz val="10"/>
        <rFont val="Arial"/>
        <family val="0"/>
        <charset val="1"/>
      </rPr>
      <t xml:space="preserve">Papakosma </t>
    </r>
    <r>
      <rPr>
        <sz val="10"/>
        <rFont val="WenQuanYi Zen Hei"/>
        <family val="2"/>
      </rPr>
      <t xml:space="preserve">机构段；</t>
    </r>
    <r>
      <rPr>
        <sz val="10"/>
        <rFont val="Arial"/>
        <family val="0"/>
        <charset val="1"/>
      </rPr>
      <t xml:space="preserve">Zamanbin </t>
    </r>
    <r>
      <rPr>
        <sz val="10"/>
        <rFont val="WenQuanYi Zen Hei"/>
        <family val="2"/>
      </rPr>
      <t xml:space="preserve">全部</t>
    </r>
  </si>
  <si>
    <t xml:space="preserve">F14, F15</t>
  </si>
  <si>
    <t xml:space="preserve">Takeaway</t>
  </si>
  <si>
    <r>
      <rPr>
        <sz val="10"/>
        <rFont val="WenQuanYi Zen Hei"/>
        <family val="2"/>
      </rPr>
      <t xml:space="preserve">理解不足限制使用和受益 → 自然过渡到 </t>
    </r>
    <r>
      <rPr>
        <sz val="10"/>
        <rFont val="Arial"/>
        <family val="0"/>
        <charset val="1"/>
      </rPr>
      <t xml:space="preserve">Theme 2</t>
    </r>
    <r>
      <rPr>
        <sz val="10"/>
        <rFont val="WenQuanYi Zen Hei"/>
        <family val="2"/>
      </rPr>
      <t xml:space="preserve">：需要有人帮忙理解。</t>
    </r>
  </si>
  <si>
    <r>
      <rPr>
        <sz val="10"/>
        <rFont val="Arial"/>
        <family val="0"/>
        <charset val="1"/>
      </rPr>
      <t xml:space="preserve">"Understanding how policy reaches children..."</t>
    </r>
    <r>
      <rPr>
        <sz val="10"/>
        <rFont val="WenQuanYi Zen Hei"/>
        <family val="2"/>
      </rPr>
      <t xml:space="preserve">、</t>
    </r>
    <r>
      <rPr>
        <sz val="10"/>
        <rFont val="Arial"/>
        <family val="0"/>
        <charset val="1"/>
      </rPr>
      <t xml:space="preserve">"Implementation requires..."</t>
    </r>
  </si>
  <si>
    <r>
      <rPr>
        <sz val="10"/>
        <rFont val="Arial"/>
        <family val="0"/>
        <charset val="1"/>
      </rPr>
      <t xml:space="preserve">Theme 2</t>
    </r>
    <r>
      <rPr>
        <sz val="10"/>
        <rFont val="WenQuanYi Zen Hei"/>
        <family val="2"/>
      </rPr>
      <t xml:space="preserve">：</t>
    </r>
    <r>
      <rPr>
        <sz val="10"/>
        <rFont val="Arial"/>
        <family val="0"/>
        <charset val="1"/>
      </rPr>
      <t xml:space="preserve">Newcomer Families Need Support to Use These Services</t>
    </r>
  </si>
  <si>
    <r>
      <rPr>
        <sz val="10"/>
        <rFont val="Arial"/>
        <family val="0"/>
        <charset val="1"/>
      </rPr>
      <t xml:space="preserve">Topic sentence (</t>
    </r>
    <r>
      <rPr>
        <sz val="10"/>
        <rFont val="WenQuanYi Zen Hei"/>
        <family val="2"/>
      </rPr>
      <t xml:space="preserve">教授输入</t>
    </r>
    <r>
      <rPr>
        <sz val="10"/>
        <rFont val="Arial"/>
        <family val="0"/>
        <charset val="1"/>
      </rPr>
      <t xml:space="preserve">)</t>
    </r>
  </si>
  <si>
    <t xml:space="preserve">"Newcomer families need intermediaries who can help them use the services. When supports such as interpreters and navigators are provided for newcomer families, they are better able to use services (Fakhari et al., 2023; Fakhari et al., 2025; Schwartz et al., 2026)."</t>
  </si>
  <si>
    <r>
      <rPr>
        <sz val="10"/>
        <rFont val="WenQuanYi Zen Hei"/>
        <family val="2"/>
      </rPr>
      <t xml:space="preserve">三篇放在括号里 </t>
    </r>
    <r>
      <rPr>
        <sz val="10"/>
        <rFont val="Arial"/>
        <family val="0"/>
        <charset val="1"/>
      </rPr>
      <t xml:space="preserve">(F16)</t>
    </r>
  </si>
  <si>
    <r>
      <rPr>
        <sz val="10"/>
        <rFont val="WenQuanYi Zen Hei"/>
        <family val="2"/>
      </rPr>
      <t xml:space="preserve">两篇加拿大 </t>
    </r>
    <r>
      <rPr>
        <sz val="10"/>
        <rFont val="Arial"/>
        <family val="0"/>
        <charset val="1"/>
      </rPr>
      <t xml:space="preserve">+ </t>
    </r>
    <r>
      <rPr>
        <sz val="10"/>
        <rFont val="WenQuanYi Zen Hei"/>
        <family val="2"/>
      </rPr>
      <t xml:space="preserve">一篇国际</t>
    </r>
  </si>
  <si>
    <r>
      <rPr>
        <sz val="10"/>
        <rFont val="Arial"/>
        <family val="0"/>
        <charset val="1"/>
      </rPr>
      <t xml:space="preserve">"which as" (</t>
    </r>
    <r>
      <rPr>
        <sz val="10"/>
        <rFont val="WenQuanYi Zen Hei"/>
        <family val="2"/>
      </rPr>
      <t xml:space="preserve">改 </t>
    </r>
    <r>
      <rPr>
        <sz val="10"/>
        <rFont val="Arial"/>
        <family val="0"/>
        <charset val="1"/>
      </rPr>
      <t xml:space="preserve">such as)</t>
    </r>
  </si>
  <si>
    <t xml:space="preserve">Theme 2</t>
  </si>
  <si>
    <r>
      <rPr>
        <sz val="10"/>
        <rFont val="Arial"/>
        <family val="0"/>
        <charset val="1"/>
      </rPr>
      <t xml:space="preserve">Evidence (</t>
    </r>
    <r>
      <rPr>
        <sz val="10"/>
        <rFont val="WenQuanYi Zen Hei"/>
        <family val="2"/>
      </rPr>
      <t xml:space="preserve">加拿大优先</t>
    </r>
    <r>
      <rPr>
        <sz val="10"/>
        <rFont val="Arial"/>
        <family val="0"/>
        <charset val="1"/>
      </rPr>
      <t xml:space="preserve">)</t>
    </r>
  </si>
  <si>
    <t xml:space="preserve">服务人员面对面帮忙、手写注册说明；家庭信任服务人员后才去获取信息；语言课、托育和口译服务合作帮助家庭理解服务。</t>
  </si>
  <si>
    <r>
      <rPr>
        <sz val="10"/>
        <rFont val="Arial"/>
        <family val="0"/>
        <charset val="1"/>
      </rPr>
      <t xml:space="preserve">Fakhari et al. (2023, pp. 8, 10)</t>
    </r>
    <r>
      <rPr>
        <sz val="10"/>
        <rFont val="WenQuanYi Zen Hei"/>
        <family val="2"/>
      </rPr>
      <t xml:space="preserve">；</t>
    </r>
    <r>
      <rPr>
        <sz val="10"/>
        <rFont val="Arial"/>
        <family val="0"/>
        <charset val="1"/>
      </rPr>
      <t xml:space="preserve">Fakhari et al. (2025, p. 91)</t>
    </r>
  </si>
  <si>
    <r>
      <rPr>
        <sz val="10"/>
        <rFont val="Arial"/>
        <family val="0"/>
        <charset val="1"/>
      </rPr>
      <t xml:space="preserve">Halifax</t>
    </r>
    <r>
      <rPr>
        <sz val="10"/>
        <rFont val="WenQuanYi Zen Hei"/>
        <family val="2"/>
      </rPr>
      <t xml:space="preserve">；全国安置机构；多伦多：</t>
    </r>
    <r>
      <rPr>
        <sz val="10"/>
        <rFont val="Arial"/>
        <family val="0"/>
        <charset val="1"/>
      </rPr>
      <t xml:space="preserve">TCS (2025) </t>
    </r>
    <r>
      <rPr>
        <sz val="10"/>
        <rFont val="WenQuanYi Zen Hei"/>
        <family val="2"/>
      </rPr>
      <t xml:space="preserve">的语言与导航支持 </t>
    </r>
    <r>
      <rPr>
        <sz val="10"/>
        <rFont val="Arial"/>
        <family val="0"/>
        <charset val="1"/>
      </rPr>
      <t xml:space="preserve">(</t>
    </r>
    <r>
      <rPr>
        <sz val="10"/>
        <rFont val="WenQuanYi Zen Hei"/>
        <family val="2"/>
      </rPr>
      <t xml:space="preserve">须核</t>
    </r>
    <r>
      <rPr>
        <sz val="10"/>
        <rFont val="Arial"/>
        <family val="0"/>
        <charset val="1"/>
      </rPr>
      <t xml:space="preserve">)</t>
    </r>
    <r>
      <rPr>
        <sz val="10"/>
        <rFont val="WenQuanYi Zen Hei"/>
        <family val="2"/>
      </rPr>
      <t xml:space="preserve">；可选 </t>
    </r>
    <r>
      <rPr>
        <sz val="10"/>
        <rFont val="Arial"/>
        <family val="0"/>
        <charset val="1"/>
      </rPr>
      <t xml:space="preserve">Yohani et al. (2019) </t>
    </r>
    <r>
      <rPr>
        <sz val="10"/>
        <rFont val="WenQuanYi Zen Hei"/>
        <family val="2"/>
      </rPr>
      <t xml:space="preserve">文化中介 </t>
    </r>
    <r>
      <rPr>
        <sz val="10"/>
        <rFont val="Arial"/>
        <family val="0"/>
        <charset val="1"/>
      </rPr>
      <t xml:space="preserve">(</t>
    </r>
    <r>
      <rPr>
        <sz val="10"/>
        <rFont val="WenQuanYi Zen Hei"/>
        <family val="2"/>
      </rPr>
      <t xml:space="preserve">须读全文</t>
    </r>
    <r>
      <rPr>
        <sz val="10"/>
        <rFont val="Arial"/>
        <family val="0"/>
        <charset val="1"/>
      </rPr>
      <t xml:space="preserve">)</t>
    </r>
  </si>
  <si>
    <t xml:space="preserve">F20, F24</t>
  </si>
  <si>
    <r>
      <rPr>
        <sz val="10"/>
        <rFont val="Arial"/>
        <family val="0"/>
        <charset val="1"/>
      </rPr>
      <t xml:space="preserve">Evidence (</t>
    </r>
    <r>
      <rPr>
        <sz val="10"/>
        <rFont val="WenQuanYi Zen Hei"/>
        <family val="2"/>
      </rPr>
      <t xml:space="preserve">国际，不点名</t>
    </r>
    <r>
      <rPr>
        <sz val="10"/>
        <rFont val="Arial"/>
        <family val="0"/>
        <charset val="1"/>
      </rPr>
      <t xml:space="preserve">)</t>
    </r>
  </si>
  <si>
    <r>
      <rPr>
        <sz val="10"/>
        <rFont val="WenQuanYi Zen Hei"/>
        <family val="2"/>
      </rPr>
      <t xml:space="preserve">社区出身的助教翻译信息，家长更有信心联系老师；邻居、社区中心、</t>
    </r>
    <r>
      <rPr>
        <sz val="10"/>
        <rFont val="Arial"/>
        <family val="0"/>
        <charset val="1"/>
      </rPr>
      <t xml:space="preserve">NGO </t>
    </r>
    <r>
      <rPr>
        <sz val="10"/>
        <rFont val="WenQuanYi Zen Hei"/>
        <family val="2"/>
      </rPr>
      <t xml:space="preserve">帮助理解入园流程；综述里的联络人和口译员策略。</t>
    </r>
  </si>
  <si>
    <r>
      <rPr>
        <sz val="10"/>
        <rFont val="Arial"/>
        <family val="0"/>
        <charset val="1"/>
      </rPr>
      <t xml:space="preserve">Schwartz et al. (2026, p. 10)</t>
    </r>
    <r>
      <rPr>
        <sz val="10"/>
        <rFont val="WenQuanYi Zen Hei"/>
        <family val="2"/>
      </rPr>
      <t xml:space="preserve">；</t>
    </r>
    <r>
      <rPr>
        <sz val="10"/>
        <rFont val="Arial"/>
        <family val="0"/>
        <charset val="1"/>
      </rPr>
      <t xml:space="preserve">Loudová Stralczynská et al. (2025, pp. 7–8)</t>
    </r>
    <r>
      <rPr>
        <sz val="10"/>
        <rFont val="WenQuanYi Zen Hei"/>
        <family val="2"/>
      </rPr>
      <t xml:space="preserve">；</t>
    </r>
    <r>
      <rPr>
        <sz val="10"/>
        <rFont val="Arial"/>
        <family val="0"/>
        <charset val="1"/>
      </rPr>
      <t xml:space="preserve">Miles et al. (2026, pp. 191, 193)</t>
    </r>
  </si>
  <si>
    <r>
      <rPr>
        <sz val="10"/>
        <rFont val="Arial"/>
        <family val="0"/>
        <charset val="1"/>
      </rPr>
      <t xml:space="preserve">Israel</t>
    </r>
    <r>
      <rPr>
        <sz val="10"/>
        <rFont val="WenQuanYi Zen Hei"/>
        <family val="2"/>
      </rPr>
      <t xml:space="preserve">、</t>
    </r>
    <r>
      <rPr>
        <sz val="10"/>
        <rFont val="Arial"/>
        <family val="0"/>
        <charset val="1"/>
      </rPr>
      <t xml:space="preserve">Czech </t>
    </r>
    <r>
      <rPr>
        <sz val="10"/>
        <rFont val="WenQuanYi Zen Hei"/>
        <family val="2"/>
      </rPr>
      <t xml:space="preserve">等国家名</t>
    </r>
  </si>
  <si>
    <r>
      <rPr>
        <sz val="10"/>
        <rFont val="Arial"/>
        <family val="0"/>
        <charset val="1"/>
      </rPr>
      <t xml:space="preserve">Contrast (</t>
    </r>
    <r>
      <rPr>
        <sz val="10"/>
        <rFont val="WenQuanYi Zen Hei"/>
        <family val="2"/>
      </rPr>
      <t xml:space="preserve">缺少中介时</t>
    </r>
    <r>
      <rPr>
        <sz val="10"/>
        <rFont val="Arial"/>
        <family val="0"/>
        <charset val="1"/>
      </rPr>
      <t xml:space="preserve">)</t>
    </r>
  </si>
  <si>
    <r>
      <rPr>
        <sz val="10"/>
        <rFont val="WenQuanYi Zen Hei"/>
        <family val="2"/>
      </rPr>
      <t xml:space="preserve">导航员的帮助参差不齐，连导航员也看不懂表格；口译员不足；口译每年只在 </t>
    </r>
    <r>
      <rPr>
        <sz val="10"/>
        <rFont val="Arial"/>
        <family val="0"/>
        <charset val="1"/>
      </rPr>
      <t xml:space="preserve">3–4 </t>
    </r>
    <r>
      <rPr>
        <sz val="10"/>
        <rFont val="WenQuanYi Zen Hei"/>
        <family val="2"/>
      </rPr>
      <t xml:space="preserve">次会议时提供。</t>
    </r>
  </si>
  <si>
    <r>
      <rPr>
        <sz val="10"/>
        <rFont val="Arial"/>
        <family val="0"/>
        <charset val="1"/>
      </rPr>
      <t xml:space="preserve">Heinz, Bell, et al. (2025, p. 400)</t>
    </r>
    <r>
      <rPr>
        <sz val="10"/>
        <rFont val="WenQuanYi Zen Hei"/>
        <family val="2"/>
      </rPr>
      <t xml:space="preserve">；</t>
    </r>
    <r>
      <rPr>
        <sz val="10"/>
        <rFont val="Arial"/>
        <family val="0"/>
        <charset val="1"/>
      </rPr>
      <t xml:space="preserve">Papakosma (2026, p. 9)</t>
    </r>
    <r>
      <rPr>
        <sz val="10"/>
        <rFont val="WenQuanYi Zen Hei"/>
        <family val="2"/>
      </rPr>
      <t xml:space="preserve">；</t>
    </r>
    <r>
      <rPr>
        <sz val="10"/>
        <rFont val="Arial"/>
        <family val="0"/>
        <charset val="1"/>
      </rPr>
      <t xml:space="preserve">Lund (2024, p. 7)</t>
    </r>
  </si>
  <si>
    <r>
      <rPr>
        <sz val="10"/>
        <rFont val="Arial"/>
        <family val="0"/>
        <charset val="1"/>
      </rPr>
      <t xml:space="preserve">Papakosma </t>
    </r>
    <r>
      <rPr>
        <sz val="10"/>
        <rFont val="WenQuanYi Zen Hei"/>
        <family val="2"/>
      </rPr>
      <t xml:space="preserve">住房、就业句 </t>
    </r>
    <r>
      <rPr>
        <sz val="10"/>
        <rFont val="Arial"/>
        <family val="0"/>
        <charset val="1"/>
      </rPr>
      <t xml:space="preserve">(p. 7)</t>
    </r>
  </si>
  <si>
    <t xml:space="preserve">F17, F18</t>
  </si>
  <si>
    <r>
      <rPr>
        <sz val="10"/>
        <rFont val="Arial"/>
        <family val="0"/>
        <charset val="1"/>
      </rPr>
      <t xml:space="preserve">Takeaway (</t>
    </r>
    <r>
      <rPr>
        <sz val="10"/>
        <rFont val="WenQuanYi Zen Hei"/>
        <family val="2"/>
      </rPr>
      <t xml:space="preserve">完成段落</t>
    </r>
    <r>
      <rPr>
        <sz val="10"/>
        <rFont val="Arial"/>
        <family val="0"/>
        <charset val="1"/>
      </rPr>
      <t xml:space="preserve">, F18)</t>
    </r>
  </si>
  <si>
    <r>
      <rPr>
        <sz val="10"/>
        <rFont val="WenQuanYi Zen Hei"/>
        <family val="2"/>
      </rPr>
      <t xml:space="preserve">中介支持帮助家庭把“知道”变成“会用”，但这种支持并不总是有，帮忙的人自己也需要了解服务 → 过渡到 </t>
    </r>
    <r>
      <rPr>
        <sz val="10"/>
        <rFont val="Arial"/>
        <family val="0"/>
        <charset val="1"/>
      </rPr>
      <t xml:space="preserve">Theme 3</t>
    </r>
    <r>
      <rPr>
        <sz val="10"/>
        <rFont val="WenQuanYi Zen Hei"/>
        <family val="2"/>
      </rPr>
      <t xml:space="preserve">：支持还需要符合家庭的文化与语言。</t>
    </r>
  </si>
  <si>
    <r>
      <rPr>
        <sz val="10"/>
        <rFont val="Arial"/>
        <family val="0"/>
        <charset val="1"/>
      </rPr>
      <t xml:space="preserve">Theme 3</t>
    </r>
    <r>
      <rPr>
        <sz val="10"/>
        <rFont val="WenQuanYi Zen Hei"/>
        <family val="2"/>
      </rPr>
      <t xml:space="preserve">：</t>
    </r>
    <r>
      <rPr>
        <sz val="10"/>
        <rFont val="Arial"/>
        <family val="0"/>
        <charset val="1"/>
      </rPr>
      <t xml:space="preserve">Newcomer Families Need More Culturally Responsive Services</t>
    </r>
  </si>
  <si>
    <r>
      <rPr>
        <sz val="10"/>
        <rFont val="WenQuanYi Zen Hei"/>
        <family val="2"/>
      </rPr>
      <t xml:space="preserve">按 </t>
    </r>
    <r>
      <rPr>
        <sz val="10"/>
        <rFont val="Arial"/>
        <family val="0"/>
        <charset val="1"/>
      </rPr>
      <t xml:space="preserve">F22 </t>
    </r>
    <r>
      <rPr>
        <sz val="10"/>
        <rFont val="WenQuanYi Zen Hei"/>
        <family val="2"/>
      </rPr>
      <t xml:space="preserve">改写：</t>
    </r>
    <r>
      <rPr>
        <sz val="10"/>
        <rFont val="Arial"/>
        <family val="0"/>
        <charset val="1"/>
      </rPr>
      <t xml:space="preserve">newcomer families are more likely to use and benefit from services that respond to their culture and language</t>
    </r>
    <r>
      <rPr>
        <sz val="10"/>
        <rFont val="WenQuanYi Zen Hei"/>
        <family val="2"/>
      </rPr>
      <t xml:space="preserve">。</t>
    </r>
  </si>
  <si>
    <t xml:space="preserve">"Newcomer parents evaluate early childhood services..." (F21)</t>
  </si>
  <si>
    <t xml:space="preserve">F21, F22</t>
  </si>
  <si>
    <t xml:space="preserve">Theme 3</t>
  </si>
  <si>
    <t xml:space="preserve">家庭更愿意使用尊重文化差异的项目；文化和语言多样的教育者改善了家庭使用托育的体验，营造文化回应的环境。</t>
  </si>
  <si>
    <r>
      <rPr>
        <sz val="10"/>
        <rFont val="Arial"/>
        <family val="0"/>
        <charset val="1"/>
      </rPr>
      <t xml:space="preserve">Fakhari et al. (2023, p. 7)</t>
    </r>
    <r>
      <rPr>
        <sz val="10"/>
        <rFont val="WenQuanYi Zen Hei"/>
        <family val="2"/>
      </rPr>
      <t xml:space="preserve">；</t>
    </r>
    <r>
      <rPr>
        <sz val="10"/>
        <rFont val="Arial"/>
        <family val="0"/>
        <charset val="1"/>
      </rPr>
      <t xml:space="preserve">Fakhari et al. (2025, p. 90)</t>
    </r>
  </si>
  <si>
    <r>
      <rPr>
        <sz val="10"/>
        <rFont val="Arial"/>
        <family val="0"/>
        <charset val="1"/>
      </rPr>
      <t xml:space="preserve">Brown et al. (2020) </t>
    </r>
    <r>
      <rPr>
        <sz val="10"/>
        <rFont val="WenQuanYi Zen Hei"/>
        <family val="2"/>
      </rPr>
      <t xml:space="preserve">加拿大综述：跨文化理解、回应与沟通是充分获得服务的关键；安省政策 </t>
    </r>
    <r>
      <rPr>
        <sz val="10"/>
        <rFont val="Arial"/>
        <family val="0"/>
        <charset val="1"/>
      </rPr>
      <t xml:space="preserve">How Does Learning Happen? (2014) </t>
    </r>
    <r>
      <rPr>
        <sz val="10"/>
        <rFont val="WenQuanYi Zen Hei"/>
        <family val="2"/>
      </rPr>
      <t xml:space="preserve">的 </t>
    </r>
    <r>
      <rPr>
        <sz val="10"/>
        <rFont val="Arial"/>
        <family val="0"/>
        <charset val="1"/>
      </rPr>
      <t xml:space="preserve">belonging </t>
    </r>
    <r>
      <rPr>
        <sz val="10"/>
        <rFont val="WenQuanYi Zen Hei"/>
        <family val="2"/>
      </rPr>
      <t xml:space="preserve">与家庭参与；可选 </t>
    </r>
    <r>
      <rPr>
        <sz val="10"/>
        <rFont val="Arial"/>
        <family val="0"/>
        <charset val="1"/>
      </rPr>
      <t xml:space="preserve">Ajayi et al. (2026) </t>
    </r>
    <r>
      <rPr>
        <sz val="10"/>
        <rFont val="WenQuanYi Zen Hei"/>
        <family val="2"/>
      </rPr>
      <t xml:space="preserve">文化不敏感、</t>
    </r>
    <r>
      <rPr>
        <sz val="10"/>
        <rFont val="Arial"/>
        <family val="0"/>
        <charset val="1"/>
      </rPr>
      <t xml:space="preserve">Massing et al. (2023) 61.3% </t>
    </r>
    <r>
      <rPr>
        <sz val="10"/>
        <rFont val="WenQuanYi Zen Hei"/>
        <family val="2"/>
      </rPr>
      <t xml:space="preserve">认为不敏感 </t>
    </r>
    <r>
      <rPr>
        <sz val="10"/>
        <rFont val="Arial"/>
        <family val="0"/>
        <charset val="1"/>
      </rPr>
      <t xml:space="preserve">(</t>
    </r>
    <r>
      <rPr>
        <sz val="10"/>
        <rFont val="WenQuanYi Zen Hei"/>
        <family val="2"/>
      </rPr>
      <t xml:space="preserve">均须读全文</t>
    </r>
    <r>
      <rPr>
        <sz val="10"/>
        <rFont val="Arial"/>
        <family val="0"/>
        <charset val="1"/>
      </rPr>
      <t xml:space="preserve">)</t>
    </r>
  </si>
  <si>
    <t xml:space="preserve">F22, F24</t>
  </si>
  <si>
    <r>
      <rPr>
        <sz val="10"/>
        <rFont val="WenQuanYi Zen Hei"/>
        <family val="2"/>
      </rPr>
      <t xml:space="preserve">家长希望孩子学新语言，也保有本族文化；家长重视安全、语言和文化；综述：</t>
    </r>
    <r>
      <rPr>
        <sz val="10"/>
        <rFont val="Arial"/>
        <family val="0"/>
        <charset val="1"/>
      </rPr>
      <t xml:space="preserve">68% </t>
    </r>
    <r>
      <rPr>
        <sz val="10"/>
        <rFont val="WenQuanYi Zen Hei"/>
        <family val="2"/>
      </rPr>
      <t xml:space="preserve">的研究提到提高项目回应性。</t>
    </r>
  </si>
  <si>
    <r>
      <rPr>
        <sz val="10"/>
        <rFont val="Arial"/>
        <family val="0"/>
        <charset val="1"/>
      </rPr>
      <t xml:space="preserve">Lund (2024, p. 8)</t>
    </r>
    <r>
      <rPr>
        <sz val="10"/>
        <rFont val="WenQuanYi Zen Hei"/>
        <family val="2"/>
      </rPr>
      <t xml:space="preserve">；</t>
    </r>
    <r>
      <rPr>
        <sz val="10"/>
        <rFont val="Arial"/>
        <family val="0"/>
        <charset val="1"/>
      </rPr>
      <t xml:space="preserve">Schwartz et al. (2026, pp. 8–9)</t>
    </r>
    <r>
      <rPr>
        <sz val="10"/>
        <rFont val="WenQuanYi Zen Hei"/>
        <family val="2"/>
      </rPr>
      <t xml:space="preserve">；</t>
    </r>
    <r>
      <rPr>
        <sz val="10"/>
        <rFont val="Arial"/>
        <family val="0"/>
        <charset val="1"/>
      </rPr>
      <t xml:space="preserve">Miles et al. (2026, p. 193)</t>
    </r>
  </si>
  <si>
    <r>
      <rPr>
        <sz val="10"/>
        <rFont val="WenQuanYi Zen Hei"/>
        <family val="2"/>
      </rPr>
      <t xml:space="preserve">监控摄像头例子；美国父亲例子；</t>
    </r>
    <r>
      <rPr>
        <sz val="10"/>
        <rFont val="Arial"/>
        <family val="0"/>
        <charset val="1"/>
      </rPr>
      <t xml:space="preserve">"unspoken needs / few objections"</t>
    </r>
  </si>
  <si>
    <t xml:space="preserve">F21, F23</t>
  </si>
  <si>
    <t xml:space="preserve">Contrast + Takeaway</t>
  </si>
  <si>
    <r>
      <rPr>
        <sz val="10"/>
        <rFont val="WenQuanYi Zen Hei"/>
        <family val="2"/>
      </rPr>
      <t xml:space="preserve">反例：老师不顾家庭处境 </t>
    </r>
    <r>
      <rPr>
        <sz val="10"/>
        <rFont val="Arial"/>
        <family val="0"/>
        <charset val="1"/>
      </rPr>
      <t xml:space="preserve">(</t>
    </r>
    <r>
      <rPr>
        <sz val="10"/>
        <rFont val="WenQuanYi Zen Hei"/>
        <family val="2"/>
      </rPr>
      <t xml:space="preserve">可选</t>
    </r>
    <r>
      <rPr>
        <sz val="10"/>
        <rFont val="Arial"/>
        <family val="0"/>
        <charset val="1"/>
      </rPr>
      <t xml:space="preserve">)</t>
    </r>
    <r>
      <rPr>
        <sz val="10"/>
        <rFont val="WenQuanYi Zen Hei"/>
        <family val="2"/>
      </rPr>
      <t xml:space="preserve">；获得服务不等于被接纳。结论：需要文化回应的服务，家庭才会持续使用并受益。</t>
    </r>
  </si>
  <si>
    <r>
      <rPr>
        <sz val="10"/>
        <rFont val="Arial"/>
        <family val="0"/>
        <charset val="1"/>
      </rPr>
      <t xml:space="preserve">Loudová Stralczynská et al. (2025, pp. 9–10) (</t>
    </r>
    <r>
      <rPr>
        <sz val="10"/>
        <rFont val="WenQuanYi Zen Hei"/>
        <family val="2"/>
      </rPr>
      <t xml:space="preserve">可选</t>
    </r>
    <r>
      <rPr>
        <sz val="10"/>
        <rFont val="Arial"/>
        <family val="0"/>
        <charset val="1"/>
      </rPr>
      <t xml:space="preserve">)</t>
    </r>
    <r>
      <rPr>
        <sz val="10"/>
        <rFont val="WenQuanYi Zen Hei"/>
        <family val="2"/>
      </rPr>
      <t xml:space="preserve">；</t>
    </r>
    <r>
      <rPr>
        <sz val="10"/>
        <rFont val="Arial"/>
        <family val="0"/>
        <charset val="1"/>
      </rPr>
      <t xml:space="preserve">Lund (2026, p. 13)</t>
    </r>
  </si>
  <si>
    <t xml:space="preserve">Conclusion</t>
  </si>
  <si>
    <r>
      <rPr>
        <sz val="10"/>
        <rFont val="Arial"/>
        <family val="0"/>
        <charset val="1"/>
      </rPr>
      <t xml:space="preserve">1 </t>
    </r>
    <r>
      <rPr>
        <sz val="10"/>
        <rFont val="WenQuanYi Zen Hei"/>
        <family val="2"/>
      </rPr>
      <t xml:space="preserve">总结三个主题 </t>
    </r>
    <r>
      <rPr>
        <sz val="10"/>
        <rFont val="Arial"/>
        <family val="0"/>
        <charset val="1"/>
      </rPr>
      <t xml:space="preserve">(Summarize themes)</t>
    </r>
  </si>
  <si>
    <t xml:space="preserve">用三个新主题名各写一句：理解不足、需要中介支持、需要文化回应的服务。</t>
  </si>
  <si>
    <r>
      <rPr>
        <sz val="10"/>
        <rFont val="WenQuanYi Zen Hei"/>
        <family val="2"/>
      </rPr>
      <t xml:space="preserve">每个主题引 </t>
    </r>
    <r>
      <rPr>
        <sz val="10"/>
        <rFont val="Arial"/>
        <family val="0"/>
        <charset val="1"/>
      </rPr>
      <t xml:space="preserve">1–2 </t>
    </r>
    <r>
      <rPr>
        <sz val="10"/>
        <rFont val="WenQuanYi Zen Hei"/>
        <family val="2"/>
      </rPr>
      <t xml:space="preserve">篇</t>
    </r>
  </si>
  <si>
    <r>
      <rPr>
        <sz val="10"/>
        <rFont val="WenQuanYi Zen Hei"/>
        <family val="2"/>
      </rPr>
      <t xml:space="preserve">旧的三个发现 </t>
    </r>
    <r>
      <rPr>
        <sz val="10"/>
        <rFont val="Arial"/>
        <family val="0"/>
        <charset val="1"/>
      </rPr>
      <t xml:space="preserve">(awareness / family effort / educators)</t>
    </r>
  </si>
  <si>
    <r>
      <rPr>
        <sz val="10"/>
        <rFont val="Arial"/>
        <family val="0"/>
        <charset val="1"/>
      </rPr>
      <t xml:space="preserve">2 </t>
    </r>
    <r>
      <rPr>
        <sz val="10"/>
        <rFont val="WenQuanYi Zen Hei"/>
        <family val="2"/>
      </rPr>
      <t xml:space="preserve">缺口 </t>
    </r>
    <r>
      <rPr>
        <sz val="10"/>
        <rFont val="Arial"/>
        <family val="0"/>
        <charset val="1"/>
      </rPr>
      <t xml:space="preserve">(Gap)</t>
    </r>
  </si>
  <si>
    <t xml:space="preserve">多数证据来自加拿大以外、样本小、只看单一障碍或单一时间点；被审阅的研究中没有一篇在多伦多进行。还不清楚：多伦多托育中心里，新移民家庭如何在教育者支持下，从理解资源走到使用资源。</t>
  </si>
  <si>
    <r>
      <rPr>
        <sz val="10"/>
        <rFont val="Arial"/>
        <family val="0"/>
        <charset val="1"/>
      </rPr>
      <t xml:space="preserve">Finno-Velasquez et al. (2025, p. 10) (</t>
    </r>
    <r>
      <rPr>
        <sz val="10"/>
        <rFont val="WenQuanYi Zen Hei"/>
        <family val="2"/>
      </rPr>
      <t xml:space="preserve">可选</t>
    </r>
    <r>
      <rPr>
        <sz val="10"/>
        <rFont val="Arial"/>
        <family val="0"/>
        <charset val="1"/>
      </rPr>
      <t xml:space="preserve">)</t>
    </r>
    <r>
      <rPr>
        <sz val="10"/>
        <rFont val="WenQuanYi Zen Hei"/>
        <family val="2"/>
      </rPr>
      <t xml:space="preserve">；</t>
    </r>
    <r>
      <rPr>
        <sz val="10"/>
        <rFont val="Arial"/>
        <family val="0"/>
        <charset val="1"/>
      </rPr>
      <t xml:space="preserve">Miles et al. (2026, p. 202)</t>
    </r>
  </si>
  <si>
    <r>
      <rPr>
        <sz val="10"/>
        <rFont val="Arial"/>
        <family val="0"/>
        <charset val="1"/>
      </rPr>
      <t xml:space="preserve">"none of the reviewed studies was conducted in Toronto" (</t>
    </r>
    <r>
      <rPr>
        <sz val="10"/>
        <rFont val="WenQuanYi Zen Hei"/>
        <family val="2"/>
      </rPr>
      <t xml:space="preserve">已核对</t>
    </r>
    <r>
      <rPr>
        <sz val="10"/>
        <rFont val="Arial"/>
        <family val="0"/>
        <charset val="1"/>
      </rPr>
      <t xml:space="preserve">)</t>
    </r>
  </si>
  <si>
    <r>
      <rPr>
        <sz val="10"/>
        <rFont val="Arial"/>
        <family val="0"/>
        <charset val="1"/>
      </rPr>
      <t xml:space="preserve">"very few studies" (</t>
    </r>
    <r>
      <rPr>
        <sz val="10"/>
        <rFont val="WenQuanYi Zen Hei"/>
        <family val="2"/>
      </rPr>
      <t xml:space="preserve">未做广泛检索就不要用</t>
    </r>
    <r>
      <rPr>
        <sz val="10"/>
        <rFont val="Arial"/>
        <family val="0"/>
        <charset val="1"/>
      </rPr>
      <t xml:space="preserve">)</t>
    </r>
  </si>
  <si>
    <t xml:space="preserve">F28, F29</t>
  </si>
  <si>
    <r>
      <rPr>
        <sz val="10"/>
        <rFont val="Arial"/>
        <family val="0"/>
        <charset val="1"/>
      </rPr>
      <t xml:space="preserve">3 </t>
    </r>
    <r>
      <rPr>
        <sz val="10"/>
        <rFont val="WenQuanYi Zen Hei"/>
        <family val="2"/>
      </rPr>
      <t xml:space="preserve">意义 </t>
    </r>
    <r>
      <rPr>
        <sz val="10"/>
        <rFont val="Arial"/>
        <family val="0"/>
        <charset val="1"/>
      </rPr>
      <t xml:space="preserve">+ </t>
    </r>
    <r>
      <rPr>
        <sz val="10"/>
        <rFont val="WenQuanYi Zen Hei"/>
        <family val="2"/>
      </rPr>
      <t xml:space="preserve">研究需要 </t>
    </r>
    <r>
      <rPr>
        <sz val="10"/>
        <rFont val="Arial"/>
        <family val="0"/>
        <charset val="1"/>
      </rPr>
      <t xml:space="preserve">(Significance / Rationale)</t>
    </r>
  </si>
  <si>
    <r>
      <rPr>
        <sz val="10"/>
        <rFont val="WenQuanYi Zen Hei"/>
        <family val="2"/>
      </rPr>
      <t xml:space="preserve">说明为什么这个缺口对多伦多实践和政策重要，然后自然引出 </t>
    </r>
    <r>
      <rPr>
        <sz val="10"/>
        <rFont val="Arial"/>
        <family val="0"/>
        <charset val="1"/>
      </rPr>
      <t xml:space="preserve">Research Purpose</t>
    </r>
    <r>
      <rPr>
        <sz val="10"/>
        <rFont val="WenQuanYi Zen Hei"/>
        <family val="2"/>
      </rPr>
      <t xml:space="preserve">。</t>
    </r>
  </si>
  <si>
    <t xml:space="preserve">Toronto Children's Services (2025, p. 47)</t>
  </si>
  <si>
    <t xml:space="preserve">多伦多</t>
  </si>
  <si>
    <t xml:space="preserve">F25, F28</t>
  </si>
  <si>
    <t xml:space="preserve">Research Purpose &amp; RQ</t>
  </si>
  <si>
    <t xml:space="preserve">与缺口对齐</t>
  </si>
  <si>
    <r>
      <rPr>
        <sz val="10"/>
        <rFont val="WenQuanYi Zen Hei"/>
        <family val="2"/>
      </rPr>
      <t xml:space="preserve">目的和 </t>
    </r>
    <r>
      <rPr>
        <sz val="10"/>
        <rFont val="Arial"/>
        <family val="0"/>
        <charset val="1"/>
      </rPr>
      <t xml:space="preserve">RQ </t>
    </r>
    <r>
      <rPr>
        <sz val="10"/>
        <rFont val="WenQuanYi Zen Hei"/>
        <family val="2"/>
      </rPr>
      <t xml:space="preserve">用同一条主线：理解 → 支持 </t>
    </r>
    <r>
      <rPr>
        <sz val="10"/>
        <rFont val="Arial"/>
        <family val="0"/>
        <charset val="1"/>
      </rPr>
      <t xml:space="preserve">(</t>
    </r>
    <r>
      <rPr>
        <sz val="10"/>
        <rFont val="WenQuanYi Zen Hei"/>
        <family val="2"/>
      </rPr>
      <t xml:space="preserve">教育者、中心</t>
    </r>
    <r>
      <rPr>
        <sz val="10"/>
        <rFont val="Arial"/>
        <family val="0"/>
        <charset val="1"/>
      </rPr>
      <t xml:space="preserve">) → </t>
    </r>
    <r>
      <rPr>
        <sz val="10"/>
        <rFont val="WenQuanYi Zen Hei"/>
        <family val="2"/>
      </rPr>
      <t xml:space="preserve">使用或不使用。资源类型要和 </t>
    </r>
    <r>
      <rPr>
        <sz val="10"/>
        <rFont val="Arial"/>
        <family val="0"/>
        <charset val="1"/>
      </rPr>
      <t xml:space="preserve">Introduction </t>
    </r>
    <r>
      <rPr>
        <sz val="10"/>
        <rFont val="WenQuanYi Zen Hei"/>
        <family val="2"/>
      </rPr>
      <t xml:space="preserve">一致。不用 </t>
    </r>
    <r>
      <rPr>
        <sz val="10"/>
        <rFont val="Arial"/>
        <family val="0"/>
        <charset val="1"/>
      </rPr>
      <t xml:space="preserve">"pathway"</t>
    </r>
    <r>
      <rPr>
        <sz val="10"/>
        <rFont val="WenQuanYi Zen Hei"/>
        <family val="2"/>
      </rPr>
      <t xml:space="preserve">。</t>
    </r>
  </si>
  <si>
    <t xml:space="preserve">一家多伦多托育中心</t>
  </si>
  <si>
    <r>
      <rPr>
        <sz val="10"/>
        <rFont val="WenQuanYi Zen Hei"/>
        <family val="2"/>
      </rPr>
      <t xml:space="preserve">两个版本并存的 </t>
    </r>
    <r>
      <rPr>
        <sz val="10"/>
        <rFont val="Arial"/>
        <family val="0"/>
        <charset val="1"/>
      </rPr>
      <t xml:space="preserve">RQ (</t>
    </r>
    <r>
      <rPr>
        <sz val="10"/>
        <rFont val="WenQuanYi Zen Hei"/>
        <family val="2"/>
      </rPr>
      <t xml:space="preserve">只留一个</t>
    </r>
    <r>
      <rPr>
        <sz val="10"/>
        <rFont val="Arial"/>
        <family val="0"/>
        <charset val="1"/>
      </rPr>
      <t xml:space="preserve">)</t>
    </r>
  </si>
  <si>
    <t xml:space="preserve">Researcher Reflection</t>
  </si>
  <si>
    <r>
      <rPr>
        <sz val="10"/>
        <rFont val="Arial"/>
        <family val="0"/>
        <charset val="1"/>
      </rPr>
      <t xml:space="preserve">5–8 </t>
    </r>
    <r>
      <rPr>
        <sz val="10"/>
        <rFont val="WenQuanYi Zen Hei"/>
        <family val="2"/>
      </rPr>
      <t xml:space="preserve">句</t>
    </r>
  </si>
  <si>
    <r>
      <rPr>
        <sz val="10"/>
        <rFont val="Arial"/>
        <family val="0"/>
        <charset val="1"/>
      </rPr>
      <t xml:space="preserve">Parkdale </t>
    </r>
    <r>
      <rPr>
        <sz val="10"/>
        <rFont val="WenQuanYi Zen Hei"/>
        <family val="2"/>
      </rPr>
      <t xml:space="preserve">实习、</t>
    </r>
    <r>
      <rPr>
        <sz val="10"/>
        <rFont val="Arial"/>
        <family val="0"/>
        <charset val="1"/>
      </rPr>
      <t xml:space="preserve">QR </t>
    </r>
    <r>
      <rPr>
        <sz val="10"/>
        <rFont val="WenQuanYi Zen Hei"/>
        <family val="2"/>
      </rPr>
      <t xml:space="preserve">码资源区 → 读文献后改变的认识：资源存在 ≠ 家庭会用；</t>
    </r>
    <r>
      <rPr>
        <sz val="10"/>
        <rFont val="Arial"/>
        <family val="0"/>
        <charset val="1"/>
      </rPr>
      <t xml:space="preserve">Fakhari (2023) </t>
    </r>
    <r>
      <rPr>
        <sz val="10"/>
        <rFont val="WenQuanYi Zen Hei"/>
        <family val="2"/>
      </rPr>
      <t xml:space="preserve">的手写注册说明影响最大。和新论点保持一致。</t>
    </r>
  </si>
  <si>
    <t xml:space="preserve">Fakhari et al. (2023, p. 8)</t>
  </si>
  <si>
    <r>
      <rPr>
        <sz val="10"/>
        <rFont val="WenQuanYi Zen Hei"/>
        <family val="2"/>
      </rPr>
      <t xml:space="preserve">多伦多 </t>
    </r>
    <r>
      <rPr>
        <sz val="10"/>
        <rFont val="Arial"/>
        <family val="0"/>
        <charset val="1"/>
      </rPr>
      <t xml:space="preserve">Parkdale</t>
    </r>
  </si>
  <si>
    <r>
      <rPr>
        <sz val="10"/>
        <rFont val="WenQuanYi Zen Hei"/>
        <family val="2"/>
      </rPr>
      <t xml:space="preserve">两个版本并存 </t>
    </r>
    <r>
      <rPr>
        <sz val="10"/>
        <rFont val="Arial"/>
        <family val="0"/>
        <charset val="1"/>
      </rPr>
      <t xml:space="preserve">(</t>
    </r>
    <r>
      <rPr>
        <sz val="10"/>
        <rFont val="WenQuanYi Zen Hei"/>
        <family val="2"/>
      </rPr>
      <t xml:space="preserve">只留一个</t>
    </r>
    <r>
      <rPr>
        <sz val="10"/>
        <rFont val="Arial"/>
        <family val="0"/>
        <charset val="1"/>
      </rPr>
      <t xml:space="preserve">)</t>
    </r>
  </si>
  <si>
    <r>
      <rPr>
        <b val="true"/>
        <sz val="10"/>
        <color rgb="FFFFFFFF"/>
        <rFont val="WenQuanYi Zen Hei"/>
        <family val="2"/>
      </rPr>
      <t xml:space="preserve">文献 </t>
    </r>
    <r>
      <rPr>
        <b val="true"/>
        <sz val="10"/>
        <color rgb="FFFFFFFF"/>
        <rFont val="Arial"/>
        <family val="0"/>
        <charset val="1"/>
      </rPr>
      <t xml:space="preserve">(</t>
    </r>
    <r>
      <rPr>
        <b val="true"/>
        <sz val="10"/>
        <color rgb="FFFFFFFF"/>
        <rFont val="WenQuanYi Zen Hei"/>
        <family val="2"/>
      </rPr>
      <t xml:space="preserve">正文引用格式</t>
    </r>
    <r>
      <rPr>
        <b val="true"/>
        <sz val="10"/>
        <color rgb="FFFFFFFF"/>
        <rFont val="Arial"/>
        <family val="0"/>
        <charset val="1"/>
      </rPr>
      <t xml:space="preserve">)</t>
    </r>
  </si>
  <si>
    <t xml:space="preserve">类型</t>
  </si>
  <si>
    <r>
      <rPr>
        <b val="true"/>
        <sz val="10"/>
        <color rgb="FFFFFFFF"/>
        <rFont val="WenQuanYi Zen Hei"/>
        <family val="2"/>
      </rPr>
      <t xml:space="preserve">国家 </t>
    </r>
    <r>
      <rPr>
        <b val="true"/>
        <sz val="10"/>
        <color rgb="FFFFFFFF"/>
        <rFont val="Arial"/>
        <family val="0"/>
        <charset val="1"/>
      </rPr>
      <t xml:space="preserve">/ </t>
    </r>
    <r>
      <rPr>
        <b val="true"/>
        <sz val="10"/>
        <color rgb="FFFFFFFF"/>
        <rFont val="WenQuanYi Zen Hei"/>
        <family val="2"/>
      </rPr>
      <t xml:space="preserve">地区</t>
    </r>
  </si>
  <si>
    <r>
      <rPr>
        <b val="true"/>
        <sz val="10"/>
        <color rgb="FFFFFFFF"/>
        <rFont val="WenQuanYi Zen Hei"/>
        <family val="2"/>
      </rPr>
      <t xml:space="preserve">样本 </t>
    </r>
    <r>
      <rPr>
        <b val="true"/>
        <sz val="10"/>
        <color rgb="FFFFFFFF"/>
        <rFont val="Arial"/>
        <family val="0"/>
        <charset val="1"/>
      </rPr>
      <t xml:space="preserve">/ </t>
    </r>
    <r>
      <rPr>
        <b val="true"/>
        <sz val="10"/>
        <color rgb="FFFFFFFF"/>
        <rFont val="WenQuanYi Zen Hei"/>
        <family val="2"/>
      </rPr>
      <t xml:space="preserve">对象</t>
    </r>
  </si>
  <si>
    <r>
      <rPr>
        <b val="true"/>
        <sz val="10"/>
        <color rgb="FFFFFFFF"/>
        <rFont val="WenQuanYi Zen Hei"/>
        <family val="2"/>
      </rPr>
      <t xml:space="preserve">新移民样本</t>
    </r>
    <r>
      <rPr>
        <b val="true"/>
        <sz val="10"/>
        <color rgb="FFFFFFFF"/>
        <rFont val="Arial"/>
        <family val="0"/>
        <charset val="1"/>
      </rPr>
      <t xml:space="preserve">?</t>
    </r>
  </si>
  <si>
    <t xml:space="preserve">当前草稿出现位置</t>
  </si>
  <si>
    <r>
      <rPr>
        <b val="true"/>
        <sz val="10"/>
        <color rgb="FFFFFFFF"/>
        <rFont val="WenQuanYi Zen Hei"/>
        <family val="2"/>
      </rPr>
      <t xml:space="preserve">已核对证据与页码 </t>
    </r>
    <r>
      <rPr>
        <b val="true"/>
        <sz val="10"/>
        <color rgb="FFFFFFFF"/>
        <rFont val="Arial"/>
        <family val="0"/>
        <charset val="1"/>
      </rPr>
      <t xml:space="preserve">(PDF </t>
    </r>
    <r>
      <rPr>
        <b val="true"/>
        <sz val="10"/>
        <color rgb="FFFFFFFF"/>
        <rFont val="WenQuanYi Zen Hei"/>
        <family val="2"/>
      </rPr>
      <t xml:space="preserve">已读</t>
    </r>
    <r>
      <rPr>
        <b val="true"/>
        <sz val="10"/>
        <color rgb="FFFFFFFF"/>
        <rFont val="Arial"/>
        <family val="0"/>
        <charset val="1"/>
      </rPr>
      <t xml:space="preserve">)</t>
    </r>
  </si>
  <si>
    <t xml:space="preserve">与新论点契合度</t>
  </si>
  <si>
    <t xml:space="preserve">相关教授意见</t>
  </si>
  <si>
    <t xml:space="preserve">处理决定</t>
  </si>
  <si>
    <t xml:space="preserve">新位置</t>
  </si>
  <si>
    <r>
      <rPr>
        <b val="true"/>
        <sz val="10"/>
        <color rgb="FFFFFFFF"/>
        <rFont val="WenQuanYi Zen Hei"/>
        <family val="2"/>
      </rPr>
      <t xml:space="preserve">具体用法 </t>
    </r>
    <r>
      <rPr>
        <b val="true"/>
        <sz val="10"/>
        <color rgb="FFFFFFFF"/>
        <rFont val="Arial"/>
        <family val="0"/>
        <charset val="1"/>
      </rPr>
      <t xml:space="preserve">(</t>
    </r>
    <r>
      <rPr>
        <b val="true"/>
        <sz val="10"/>
        <color rgb="FFFFFFFF"/>
        <rFont val="WenQuanYi Zen Hei"/>
        <family val="2"/>
      </rPr>
      <t xml:space="preserve">中文</t>
    </r>
    <r>
      <rPr>
        <b val="true"/>
        <sz val="10"/>
        <color rgb="FFFFFFFF"/>
        <rFont val="Arial"/>
        <family val="0"/>
        <charset val="1"/>
      </rPr>
      <t xml:space="preserve">)</t>
    </r>
  </si>
  <si>
    <t xml:space="preserve">国家名处理</t>
  </si>
  <si>
    <r>
      <rPr>
        <b val="true"/>
        <sz val="10"/>
        <color rgb="FFFFFFFF"/>
        <rFont val="Arial"/>
        <family val="0"/>
        <charset val="1"/>
      </rPr>
      <t xml:space="preserve">References </t>
    </r>
    <r>
      <rPr>
        <b val="true"/>
        <sz val="10"/>
        <color rgb="FFFFFFFF"/>
        <rFont val="WenQuanYi Zen Hei"/>
        <family val="2"/>
      </rPr>
      <t xml:space="preserve">状态</t>
    </r>
  </si>
  <si>
    <t xml:space="preserve">核验状态</t>
  </si>
  <si>
    <t xml:space="preserve">计数类别</t>
  </si>
  <si>
    <r>
      <rPr>
        <b val="true"/>
        <sz val="10"/>
        <color rgb="FFFFFFFF"/>
        <rFont val="WenQuanYi Zen Hei"/>
        <family val="2"/>
      </rPr>
      <t xml:space="preserve">最终计入</t>
    </r>
    <r>
      <rPr>
        <b val="true"/>
        <sz val="10"/>
        <color rgb="FFFFFFFF"/>
        <rFont val="Arial"/>
        <family val="0"/>
        <charset val="1"/>
      </rPr>
      <t xml:space="preserve">?</t>
    </r>
  </si>
  <si>
    <t xml:space="preserve">S01</t>
  </si>
  <si>
    <t xml:space="preserve">Burns et al. (2025)</t>
  </si>
  <si>
    <r>
      <rPr>
        <sz val="10"/>
        <rFont val="WenQuanYi Zen Hei"/>
        <family val="2"/>
      </rPr>
      <t xml:space="preserve">原始研究 </t>
    </r>
    <r>
      <rPr>
        <sz val="10"/>
        <rFont val="Arial"/>
        <family val="0"/>
        <charset val="1"/>
      </rPr>
      <t xml:space="preserve">· </t>
    </r>
    <r>
      <rPr>
        <sz val="10"/>
        <rFont val="WenQuanYi Zen Hei"/>
        <family val="2"/>
      </rPr>
      <t xml:space="preserve">问卷</t>
    </r>
  </si>
  <si>
    <r>
      <rPr>
        <sz val="10"/>
        <rFont val="WenQuanYi Zen Hei"/>
        <family val="2"/>
      </rPr>
      <t xml:space="preserve">加拿大 </t>
    </r>
    <r>
      <rPr>
        <sz val="10"/>
        <rFont val="Arial"/>
        <family val="0"/>
        <charset val="1"/>
      </rPr>
      <t xml:space="preserve">(ON, QC, BC, AB)</t>
    </r>
  </si>
  <si>
    <r>
      <rPr>
        <sz val="10"/>
        <rFont val="Arial"/>
        <family val="0"/>
        <charset val="1"/>
      </rPr>
      <t xml:space="preserve">1,341 </t>
    </r>
    <r>
      <rPr>
        <sz val="10"/>
        <rFont val="WenQuanYi Zen Hei"/>
        <family val="2"/>
      </rPr>
      <t xml:space="preserve">名家长 </t>
    </r>
    <r>
      <rPr>
        <sz val="10"/>
        <rFont val="Arial"/>
        <family val="0"/>
        <charset val="1"/>
      </rPr>
      <t xml:space="preserve">(</t>
    </r>
    <r>
      <rPr>
        <sz val="10"/>
        <rFont val="WenQuanYi Zen Hei"/>
        <family val="2"/>
      </rPr>
      <t xml:space="preserve">一般样本</t>
    </r>
    <r>
      <rPr>
        <sz val="10"/>
        <rFont val="Arial"/>
        <family val="0"/>
        <charset val="1"/>
      </rPr>
      <t xml:space="preserve">)</t>
    </r>
  </si>
  <si>
    <r>
      <rPr>
        <sz val="10"/>
        <rFont val="WenQuanYi Zen Hei"/>
        <family val="2"/>
      </rPr>
      <t xml:space="preserve">否 </t>
    </r>
    <r>
      <rPr>
        <sz val="10"/>
        <rFont val="Arial"/>
        <family val="0"/>
        <charset val="1"/>
      </rPr>
      <t xml:space="preserve">(</t>
    </r>
    <r>
      <rPr>
        <sz val="10"/>
        <rFont val="WenQuanYi Zen Hei"/>
        <family val="2"/>
      </rPr>
      <t xml:space="preserve">一般样本</t>
    </r>
    <r>
      <rPr>
        <sz val="10"/>
        <rFont val="Arial"/>
        <family val="0"/>
        <charset val="1"/>
      </rPr>
      <t xml:space="preserve">)</t>
    </r>
  </si>
  <si>
    <t xml:space="preserve">Intro; Theme 1; Conclusion</t>
  </si>
  <si>
    <r>
      <rPr>
        <sz val="10"/>
        <rFont val="Arial"/>
        <family val="0"/>
        <charset val="1"/>
      </rPr>
      <t xml:space="preserve">p. 73: 18.49% </t>
    </r>
    <r>
      <rPr>
        <sz val="10"/>
        <rFont val="WenQuanYi Zen Hei"/>
        <family val="2"/>
      </rPr>
      <t xml:space="preserve">知道 </t>
    </r>
    <r>
      <rPr>
        <sz val="10"/>
        <rFont val="Arial"/>
        <family val="0"/>
        <charset val="1"/>
      </rPr>
      <t xml:space="preserve">CWELCC </t>
    </r>
    <r>
      <rPr>
        <sz val="10"/>
        <rFont val="WenQuanYi Zen Hei"/>
        <family val="2"/>
      </rPr>
      <t xml:space="preserve">正在实施；</t>
    </r>
    <r>
      <rPr>
        <sz val="10"/>
        <rFont val="Arial"/>
        <family val="0"/>
        <charset val="1"/>
      </rPr>
      <t xml:space="preserve">39.08% </t>
    </r>
    <r>
      <rPr>
        <sz val="10"/>
        <rFont val="WenQuanYi Zen Hei"/>
        <family val="2"/>
      </rPr>
      <t xml:space="preserve">信息错误、有限或没有信息。</t>
    </r>
    <r>
      <rPr>
        <sz val="10"/>
        <rFont val="Arial"/>
        <family val="0"/>
        <charset val="1"/>
      </rPr>
      <t xml:space="preserve">pp. 75–76: </t>
    </r>
    <r>
      <rPr>
        <sz val="10"/>
        <rFont val="WenQuanYi Zen Hei"/>
        <family val="2"/>
      </rPr>
      <t xml:space="preserve">省份、种族、人口密度、孩子年龄差异。</t>
    </r>
    <r>
      <rPr>
        <sz val="10"/>
        <rFont val="Arial"/>
        <family val="0"/>
        <charset val="1"/>
      </rPr>
      <t xml:space="preserve">p. 78: </t>
    </r>
    <r>
      <rPr>
        <sz val="10"/>
        <rFont val="WenQuanYi Zen Hei"/>
        <family val="2"/>
      </rPr>
      <t xml:space="preserve">性别与收入差异。</t>
    </r>
  </si>
  <si>
    <t xml:space="preserve">高</t>
  </si>
  <si>
    <r>
      <rPr>
        <b val="true"/>
        <sz val="10"/>
        <rFont val="WenQuanYi Zen Hei"/>
        <family val="2"/>
      </rPr>
      <t xml:space="preserve">保留</t>
    </r>
    <r>
      <rPr>
        <b val="true"/>
        <sz val="10"/>
        <rFont val="Arial"/>
        <family val="0"/>
        <charset val="1"/>
      </rPr>
      <t xml:space="preserve">·</t>
    </r>
    <r>
      <rPr>
        <b val="true"/>
        <sz val="10"/>
        <rFont val="WenQuanYi Zen Hei"/>
        <family val="2"/>
      </rPr>
      <t xml:space="preserve">核心</t>
    </r>
  </si>
  <si>
    <r>
      <rPr>
        <sz val="10"/>
        <rFont val="Arial"/>
        <family val="0"/>
        <charset val="1"/>
      </rPr>
      <t xml:space="preserve">Theme 1 (Intro </t>
    </r>
    <r>
      <rPr>
        <sz val="10"/>
        <rFont val="WenQuanYi Zen Hei"/>
        <family val="2"/>
      </rPr>
      <t xml:space="preserve">可选</t>
    </r>
    <r>
      <rPr>
        <sz val="10"/>
        <rFont val="Arial"/>
        <family val="0"/>
        <charset val="1"/>
      </rPr>
      <t xml:space="preserve">)</t>
    </r>
  </si>
  <si>
    <r>
      <rPr>
        <sz val="10"/>
        <rFont val="Arial"/>
        <family val="0"/>
        <charset val="1"/>
      </rPr>
      <t xml:space="preserve">Theme 1 </t>
    </r>
    <r>
      <rPr>
        <sz val="10"/>
        <rFont val="WenQuanYi Zen Hei"/>
        <family val="2"/>
      </rPr>
      <t xml:space="preserve">第一条证据：多数家长听说过 </t>
    </r>
    <r>
      <rPr>
        <sz val="10"/>
        <rFont val="Arial"/>
        <family val="0"/>
        <charset val="1"/>
      </rPr>
      <t xml:space="preserve">CWELCC</t>
    </r>
    <r>
      <rPr>
        <sz val="10"/>
        <rFont val="WenQuanYi Zen Hei"/>
        <family val="2"/>
      </rPr>
      <t xml:space="preserve">，但 </t>
    </r>
    <r>
      <rPr>
        <sz val="10"/>
        <rFont val="Arial"/>
        <family val="0"/>
        <charset val="1"/>
      </rPr>
      <t xml:space="preserve">39.08% </t>
    </r>
    <r>
      <rPr>
        <sz val="10"/>
        <rFont val="WenQuanYi Zen Hei"/>
        <family val="2"/>
      </rPr>
      <t xml:space="preserve">信息错误、有限或没有 </t>
    </r>
    <r>
      <rPr>
        <sz val="10"/>
        <rFont val="Arial"/>
        <family val="0"/>
        <charset val="1"/>
      </rPr>
      <t xml:space="preserve">(p. 73)</t>
    </r>
    <r>
      <rPr>
        <sz val="10"/>
        <rFont val="WenQuanYi Zen Hei"/>
        <family val="2"/>
      </rPr>
      <t xml:space="preserve">。后面加一句解释 </t>
    </r>
    <r>
      <rPr>
        <sz val="10"/>
        <rFont val="Arial"/>
        <family val="0"/>
        <charset val="1"/>
      </rPr>
      <t xml:space="preserve">(F09)</t>
    </r>
    <r>
      <rPr>
        <sz val="10"/>
        <rFont val="WenQuanYi Zen Hei"/>
        <family val="2"/>
      </rPr>
      <t xml:space="preserve">：这会限制家庭理解如何使用服务来满足需要。要写明这是一般家长样本，没有单独分析新移民。</t>
    </r>
  </si>
  <si>
    <r>
      <rPr>
        <sz val="10"/>
        <rFont val="WenQuanYi Zen Hei"/>
        <family val="2"/>
      </rPr>
      <t xml:space="preserve">加拿大，可写 </t>
    </r>
    <r>
      <rPr>
        <sz val="10"/>
        <rFont val="Arial"/>
        <family val="0"/>
        <charset val="1"/>
      </rPr>
      <t xml:space="preserve">"in four Canadian provinces"</t>
    </r>
  </si>
  <si>
    <t xml:space="preserve">已列入</t>
  </si>
  <si>
    <r>
      <rPr>
        <sz val="10"/>
        <rFont val="Arial"/>
        <family val="0"/>
        <charset val="1"/>
      </rPr>
      <t xml:space="preserve">PDF </t>
    </r>
    <r>
      <rPr>
        <sz val="10"/>
        <rFont val="WenQuanYi Zen Hei"/>
        <family val="2"/>
      </rPr>
      <t xml:space="preserve">已读</t>
    </r>
  </si>
  <si>
    <t xml:space="preserve">原始研究</t>
  </si>
  <si>
    <t xml:space="preserve">是</t>
  </si>
  <si>
    <t xml:space="preserve">S02</t>
  </si>
  <si>
    <t xml:space="preserve">Fakhari et al. (2023)</t>
  </si>
  <si>
    <r>
      <rPr>
        <sz val="10"/>
        <rFont val="WenQuanYi Zen Hei"/>
        <family val="2"/>
      </rPr>
      <t xml:space="preserve">原始研究 </t>
    </r>
    <r>
      <rPr>
        <sz val="10"/>
        <rFont val="Arial"/>
        <family val="0"/>
        <charset val="1"/>
      </rPr>
      <t xml:space="preserve">· </t>
    </r>
    <r>
      <rPr>
        <sz val="10"/>
        <rFont val="WenQuanYi Zen Hei"/>
        <family val="2"/>
      </rPr>
      <t xml:space="preserve">照片发声 </t>
    </r>
    <r>
      <rPr>
        <sz val="10"/>
        <rFont val="Arial"/>
        <family val="0"/>
        <charset val="1"/>
      </rPr>
      <t xml:space="preserve">(photovoice)</t>
    </r>
  </si>
  <si>
    <r>
      <rPr>
        <sz val="10"/>
        <rFont val="WenQuanYi Zen Hei"/>
        <family val="2"/>
      </rPr>
      <t xml:space="preserve">加拿大 </t>
    </r>
    <r>
      <rPr>
        <sz val="10"/>
        <rFont val="Arial"/>
        <family val="0"/>
        <charset val="1"/>
      </rPr>
      <t xml:space="preserve">(Halifax, NS)</t>
    </r>
  </si>
  <si>
    <r>
      <rPr>
        <sz val="10"/>
        <rFont val="Arial"/>
        <family val="0"/>
        <charset val="1"/>
      </rPr>
      <t xml:space="preserve">8 </t>
    </r>
    <r>
      <rPr>
        <sz val="10"/>
        <rFont val="WenQuanYi Zen Hei"/>
        <family val="2"/>
      </rPr>
      <t xml:space="preserve">名讲阿拉伯语的新移民家庭成员 </t>
    </r>
    <r>
      <rPr>
        <sz val="10"/>
        <rFont val="Arial"/>
        <family val="0"/>
        <charset val="1"/>
      </rPr>
      <t xml:space="preserve">+ 6 </t>
    </r>
    <r>
      <rPr>
        <sz val="10"/>
        <rFont val="WenQuanYi Zen Hei"/>
        <family val="2"/>
      </rPr>
      <t xml:space="preserve">名 </t>
    </r>
    <r>
      <rPr>
        <sz val="10"/>
        <rFont val="Arial"/>
        <family val="0"/>
        <charset val="1"/>
      </rPr>
      <t xml:space="preserve">ECE</t>
    </r>
  </si>
  <si>
    <r>
      <rPr>
        <sz val="10"/>
        <rFont val="Arial"/>
        <family val="0"/>
        <charset val="1"/>
      </rPr>
      <t xml:space="preserve">Theme 2 (</t>
    </r>
    <r>
      <rPr>
        <sz val="10"/>
        <rFont val="WenQuanYi Zen Hei"/>
        <family val="2"/>
      </rPr>
      <t xml:space="preserve">旧</t>
    </r>
    <r>
      <rPr>
        <sz val="10"/>
        <rFont val="Arial"/>
        <family val="0"/>
        <charset val="1"/>
      </rPr>
      <t xml:space="preserve">); Theme 3 (</t>
    </r>
    <r>
      <rPr>
        <sz val="10"/>
        <rFont val="WenQuanYi Zen Hei"/>
        <family val="2"/>
      </rPr>
      <t xml:space="preserve">旧</t>
    </r>
    <r>
      <rPr>
        <sz val="10"/>
        <rFont val="Arial"/>
        <family val="0"/>
        <charset val="1"/>
      </rPr>
      <t xml:space="preserve">); Conclusion; Reflection</t>
    </r>
  </si>
  <si>
    <r>
      <rPr>
        <sz val="10"/>
        <rFont val="Arial"/>
        <family val="0"/>
        <charset val="1"/>
      </rPr>
      <t xml:space="preserve">p. 7: </t>
    </r>
    <r>
      <rPr>
        <sz val="10"/>
        <rFont val="WenQuanYi Zen Hei"/>
        <family val="2"/>
      </rPr>
      <t xml:space="preserve">家庭更愿意使用尊重文化差异的项目。</t>
    </r>
    <r>
      <rPr>
        <sz val="10"/>
        <rFont val="Arial"/>
        <family val="0"/>
        <charset val="1"/>
      </rPr>
      <t xml:space="preserve">p. 8: </t>
    </r>
    <r>
      <rPr>
        <sz val="10"/>
        <rFont val="WenQuanYi Zen Hei"/>
        <family val="2"/>
      </rPr>
      <t xml:space="preserve">多数依靠面对面联系或带回家的传单；服务人员手写注册说明。</t>
    </r>
    <r>
      <rPr>
        <sz val="10"/>
        <rFont val="Arial"/>
        <family val="0"/>
        <charset val="1"/>
      </rPr>
      <t xml:space="preserve">p. 10: </t>
    </r>
    <r>
      <rPr>
        <sz val="10"/>
        <rFont val="WenQuanYi Zen Hei"/>
        <family val="2"/>
      </rPr>
      <t xml:space="preserve">新移民家庭信任服务人员后才会去获取信息和资源；来自可信社交圈的信息最有用，因为常用他们的首选语言。</t>
    </r>
  </si>
  <si>
    <t xml:space="preserve">F20, F22, F24</t>
  </si>
  <si>
    <t xml:space="preserve">Theme 2 + Theme 3 + Reflection</t>
  </si>
  <si>
    <r>
      <rPr>
        <sz val="10"/>
        <rFont val="Arial"/>
        <family val="0"/>
        <charset val="1"/>
      </rPr>
      <t xml:space="preserve">Theme 2</t>
    </r>
    <r>
      <rPr>
        <sz val="10"/>
        <rFont val="WenQuanYi Zen Hei"/>
        <family val="2"/>
      </rPr>
      <t xml:space="preserve">：服务人员和可信的社交网络帮助家庭理解并完成注册 </t>
    </r>
    <r>
      <rPr>
        <sz val="10"/>
        <rFont val="Arial"/>
        <family val="0"/>
        <charset val="1"/>
      </rPr>
      <t xml:space="preserve">(pp. 8, 10)</t>
    </r>
    <r>
      <rPr>
        <sz val="10"/>
        <rFont val="WenQuanYi Zen Hei"/>
        <family val="2"/>
      </rPr>
      <t xml:space="preserve">。</t>
    </r>
    <r>
      <rPr>
        <sz val="10"/>
        <rFont val="Arial"/>
        <family val="0"/>
        <charset val="1"/>
      </rPr>
      <t xml:space="preserve">Theme 3</t>
    </r>
    <r>
      <rPr>
        <sz val="10"/>
        <rFont val="WenQuanYi Zen Hei"/>
        <family val="2"/>
      </rPr>
      <t xml:space="preserve">：尊重文化差异的项目，家庭更愿意使用 </t>
    </r>
    <r>
      <rPr>
        <sz val="10"/>
        <rFont val="Arial"/>
        <family val="0"/>
        <charset val="1"/>
      </rPr>
      <t xml:space="preserve">(p. 7)</t>
    </r>
    <r>
      <rPr>
        <sz val="10"/>
        <rFont val="WenQuanYi Zen Hei"/>
        <family val="2"/>
      </rPr>
      <t xml:space="preserve">。这是现有文献里最重要的加拿大新移民家庭证据。</t>
    </r>
  </si>
  <si>
    <r>
      <rPr>
        <sz val="10"/>
        <rFont val="WenQuanYi Zen Hei"/>
        <family val="2"/>
      </rPr>
      <t xml:space="preserve">加拿大，可保留 </t>
    </r>
    <r>
      <rPr>
        <sz val="10"/>
        <rFont val="Arial"/>
        <family val="0"/>
        <charset val="1"/>
      </rPr>
      <t xml:space="preserve">"in Nova Scotia"</t>
    </r>
  </si>
  <si>
    <r>
      <rPr>
        <sz val="10"/>
        <rFont val="Arial"/>
        <family val="0"/>
        <charset val="1"/>
      </rPr>
      <t xml:space="preserve">PDF </t>
    </r>
    <r>
      <rPr>
        <sz val="10"/>
        <rFont val="WenQuanYi Zen Hei"/>
        <family val="2"/>
      </rPr>
      <t xml:space="preserve">已读 </t>
    </r>
    <r>
      <rPr>
        <sz val="10"/>
        <rFont val="Arial"/>
        <family val="0"/>
        <charset val="1"/>
      </rPr>
      <t xml:space="preserve">(</t>
    </r>
    <r>
      <rPr>
        <sz val="10"/>
        <rFont val="WenQuanYi Zen Hei"/>
        <family val="2"/>
      </rPr>
      <t xml:space="preserve">印刷页 </t>
    </r>
    <r>
      <rPr>
        <sz val="10"/>
        <rFont val="Arial"/>
        <family val="0"/>
        <charset val="1"/>
      </rPr>
      <t xml:space="preserve">= PDF </t>
    </r>
    <r>
      <rPr>
        <sz val="10"/>
        <rFont val="WenQuanYi Zen Hei"/>
        <family val="2"/>
      </rPr>
      <t xml:space="preserve">页 − </t>
    </r>
    <r>
      <rPr>
        <sz val="10"/>
        <rFont val="Arial"/>
        <family val="0"/>
        <charset val="1"/>
      </rPr>
      <t xml:space="preserve">1)</t>
    </r>
  </si>
  <si>
    <t xml:space="preserve">S03</t>
  </si>
  <si>
    <r>
      <rPr>
        <sz val="10"/>
        <rFont val="WenQuanYi Zen Hei"/>
        <family val="2"/>
      </rPr>
      <t xml:space="preserve">原始研究 </t>
    </r>
    <r>
      <rPr>
        <sz val="10"/>
        <rFont val="Arial"/>
        <family val="0"/>
        <charset val="1"/>
      </rPr>
      <t xml:space="preserve">· </t>
    </r>
    <r>
      <rPr>
        <sz val="10"/>
        <rFont val="WenQuanYi Zen Hei"/>
        <family val="2"/>
      </rPr>
      <t xml:space="preserve">全国扫描 </t>
    </r>
    <r>
      <rPr>
        <sz val="10"/>
        <rFont val="Arial"/>
        <family val="0"/>
        <charset val="1"/>
      </rPr>
      <t xml:space="preserve">+ </t>
    </r>
    <r>
      <rPr>
        <sz val="10"/>
        <rFont val="WenQuanYi Zen Hei"/>
        <family val="2"/>
      </rPr>
      <t xml:space="preserve">访谈</t>
    </r>
  </si>
  <si>
    <r>
      <rPr>
        <sz val="10"/>
        <rFont val="WenQuanYi Zen Hei"/>
        <family val="2"/>
      </rPr>
      <t xml:space="preserve">加拿大 </t>
    </r>
    <r>
      <rPr>
        <sz val="10"/>
        <rFont val="Arial"/>
        <family val="0"/>
        <charset val="1"/>
      </rPr>
      <t xml:space="preserve">(</t>
    </r>
    <r>
      <rPr>
        <sz val="10"/>
        <rFont val="WenQuanYi Zen Hei"/>
        <family val="2"/>
      </rPr>
      <t xml:space="preserve">全国 </t>
    </r>
    <r>
      <rPr>
        <sz val="10"/>
        <rFont val="Arial"/>
        <family val="0"/>
        <charset val="1"/>
      </rPr>
      <t xml:space="preserve">38 </t>
    </r>
    <r>
      <rPr>
        <sz val="10"/>
        <rFont val="WenQuanYi Zen Hei"/>
        <family val="2"/>
      </rPr>
      <t xml:space="preserve">个安置机构托育项目</t>
    </r>
    <r>
      <rPr>
        <sz val="10"/>
        <rFont val="Arial"/>
        <family val="0"/>
        <charset val="1"/>
      </rPr>
      <t xml:space="preserve">)</t>
    </r>
  </si>
  <si>
    <t xml:space="preserve">安置机构的服务提供者</t>
  </si>
  <si>
    <r>
      <rPr>
        <sz val="10"/>
        <rFont val="WenQuanYi Zen Hei"/>
        <family val="2"/>
      </rPr>
      <t xml:space="preserve">部分 </t>
    </r>
    <r>
      <rPr>
        <sz val="10"/>
        <rFont val="Arial"/>
        <family val="0"/>
        <charset val="1"/>
      </rPr>
      <t xml:space="preserve">(</t>
    </r>
    <r>
      <rPr>
        <sz val="10"/>
        <rFont val="WenQuanYi Zen Hei"/>
        <family val="2"/>
      </rPr>
      <t xml:space="preserve">服务新移民家庭；受访者是服务提供者</t>
    </r>
    <r>
      <rPr>
        <sz val="10"/>
        <rFont val="Arial"/>
        <family val="0"/>
        <charset val="1"/>
      </rPr>
      <t xml:space="preserve">)</t>
    </r>
  </si>
  <si>
    <r>
      <rPr>
        <sz val="10"/>
        <rFont val="Arial"/>
        <family val="0"/>
        <charset val="1"/>
      </rPr>
      <t xml:space="preserve">Theme 1 (</t>
    </r>
    <r>
      <rPr>
        <sz val="10"/>
        <rFont val="WenQuanYi Zen Hei"/>
        <family val="2"/>
      </rPr>
      <t xml:space="preserve">旧：许可证、经费、人员</t>
    </r>
    <r>
      <rPr>
        <sz val="10"/>
        <rFont val="Arial"/>
        <family val="0"/>
        <charset val="1"/>
      </rPr>
      <t xml:space="preserve">)</t>
    </r>
  </si>
  <si>
    <r>
      <rPr>
        <sz val="10"/>
        <rFont val="Arial"/>
        <family val="0"/>
        <charset val="1"/>
      </rPr>
      <t xml:space="preserve">p. 84: 33/38 </t>
    </r>
    <r>
      <rPr>
        <sz val="10"/>
        <rFont val="WenQuanYi Zen Hei"/>
        <family val="2"/>
      </rPr>
      <t xml:space="preserve">个项目设资格条件 </t>
    </r>
    <r>
      <rPr>
        <sz val="10"/>
        <rFont val="Arial"/>
        <family val="0"/>
        <charset val="1"/>
      </rPr>
      <t xml:space="preserve">(</t>
    </r>
    <r>
      <rPr>
        <sz val="10"/>
        <rFont val="WenQuanYi Zen Hei"/>
        <family val="2"/>
      </rPr>
      <t xml:space="preserve">如移民身份</t>
    </r>
    <r>
      <rPr>
        <sz val="10"/>
        <rFont val="Arial"/>
        <family val="0"/>
        <charset val="1"/>
      </rPr>
      <t xml:space="preserve">)</t>
    </r>
    <r>
      <rPr>
        <sz val="10"/>
        <rFont val="WenQuanYi Zen Hei"/>
        <family val="2"/>
      </rPr>
      <t xml:space="preserve">。</t>
    </r>
    <r>
      <rPr>
        <sz val="10"/>
        <rFont val="Arial"/>
        <family val="0"/>
        <charset val="1"/>
      </rPr>
      <t xml:space="preserve">pp. 87–88: </t>
    </r>
    <r>
      <rPr>
        <sz val="10"/>
        <rFont val="WenQuanYi Zen Hei"/>
        <family val="2"/>
      </rPr>
      <t xml:space="preserve">许可证与经费限制。</t>
    </r>
    <r>
      <rPr>
        <sz val="10"/>
        <rFont val="Arial"/>
        <family val="0"/>
        <charset val="1"/>
      </rPr>
      <t xml:space="preserve">p. 90: </t>
    </r>
    <r>
      <rPr>
        <sz val="10"/>
        <rFont val="WenQuanYi Zen Hei"/>
        <family val="2"/>
      </rPr>
      <t xml:space="preserve">文化和语言多样的教育者 </t>
    </r>
    <r>
      <rPr>
        <sz val="10"/>
        <rFont val="Arial"/>
        <family val="0"/>
        <charset val="1"/>
      </rPr>
      <t xml:space="preserve">"enhanced the experiences of immigrant families and their children when accessing child care programs"</t>
    </r>
    <r>
      <rPr>
        <sz val="10"/>
        <rFont val="WenQuanYi Zen Hei"/>
        <family val="2"/>
      </rPr>
      <t xml:space="preserve">；</t>
    </r>
    <r>
      <rPr>
        <sz val="10"/>
        <rFont val="Arial"/>
        <family val="0"/>
        <charset val="1"/>
      </rPr>
      <t xml:space="preserve">"a culturally responsive, inclusive environment"</t>
    </r>
    <r>
      <rPr>
        <sz val="10"/>
        <rFont val="WenQuanYi Zen Hei"/>
        <family val="2"/>
      </rPr>
      <t xml:space="preserve">。</t>
    </r>
    <r>
      <rPr>
        <sz val="10"/>
        <rFont val="Arial"/>
        <family val="0"/>
        <charset val="1"/>
      </rPr>
      <t xml:space="preserve">p. 91: </t>
    </r>
    <r>
      <rPr>
        <sz val="10"/>
        <rFont val="WenQuanYi Zen Hei"/>
        <family val="2"/>
      </rPr>
      <t xml:space="preserve">语言课 </t>
    </r>
    <r>
      <rPr>
        <sz val="10"/>
        <rFont val="Arial"/>
        <family val="0"/>
        <charset val="1"/>
      </rPr>
      <t xml:space="preserve">(LINC)</t>
    </r>
    <r>
      <rPr>
        <sz val="10"/>
        <rFont val="WenQuanYi Zen Hei"/>
        <family val="2"/>
      </rPr>
      <t xml:space="preserve">、托育与口译服务合作 </t>
    </r>
    <r>
      <rPr>
        <sz val="10"/>
        <rFont val="Arial"/>
        <family val="0"/>
        <charset val="1"/>
      </rPr>
      <t xml:space="preserve">"helps clients to understand and experience the breadth of services"</t>
    </r>
    <r>
      <rPr>
        <sz val="10"/>
        <rFont val="WenQuanYi Zen Hei"/>
        <family val="2"/>
      </rPr>
      <t xml:space="preserve">。</t>
    </r>
  </si>
  <si>
    <t xml:space="preserve">原用法：低 → 改用后：高</t>
  </si>
  <si>
    <r>
      <rPr>
        <b val="true"/>
        <sz val="10"/>
        <rFont val="WenQuanYi Zen Hei"/>
        <family val="2"/>
      </rPr>
      <t xml:space="preserve">改用 </t>
    </r>
    <r>
      <rPr>
        <b val="true"/>
        <sz val="10"/>
        <rFont val="Arial"/>
        <family val="0"/>
        <charset val="1"/>
      </rPr>
      <t xml:space="preserve">(</t>
    </r>
    <r>
      <rPr>
        <b val="true"/>
        <sz val="10"/>
        <rFont val="WenQuanYi Zen Hei"/>
        <family val="2"/>
      </rPr>
      <t xml:space="preserve">删旧句，换用途</t>
    </r>
    <r>
      <rPr>
        <b val="true"/>
        <sz val="10"/>
        <rFont val="Arial"/>
        <family val="0"/>
        <charset val="1"/>
      </rPr>
      <t xml:space="preserve">)</t>
    </r>
  </si>
  <si>
    <t xml:space="preserve">Theme 2 + Theme 3</t>
  </si>
  <si>
    <r>
      <rPr>
        <sz val="10"/>
        <rFont val="WenQuanYi Zen Hei"/>
        <family val="2"/>
      </rPr>
      <t xml:space="preserve">删除许可证、经费、人员那句 </t>
    </r>
    <r>
      <rPr>
        <sz val="10"/>
        <rFont val="Arial"/>
        <family val="0"/>
        <charset val="1"/>
      </rPr>
      <t xml:space="preserve">(F14)</t>
    </r>
    <r>
      <rPr>
        <sz val="10"/>
        <rFont val="WenQuanYi Zen Hei"/>
        <family val="2"/>
      </rPr>
      <t xml:space="preserve">。</t>
    </r>
    <r>
      <rPr>
        <sz val="10"/>
        <rFont val="Arial"/>
        <family val="0"/>
        <charset val="1"/>
      </rPr>
      <t xml:space="preserve">Theme 2 </t>
    </r>
    <r>
      <rPr>
        <sz val="10"/>
        <rFont val="WenQuanYi Zen Hei"/>
        <family val="2"/>
      </rPr>
      <t xml:space="preserve">用 </t>
    </r>
    <r>
      <rPr>
        <sz val="10"/>
        <rFont val="Arial"/>
        <family val="0"/>
        <charset val="1"/>
      </rPr>
      <t xml:space="preserve">p. 91</t>
    </r>
    <r>
      <rPr>
        <sz val="10"/>
        <rFont val="WenQuanYi Zen Hei"/>
        <family val="2"/>
      </rPr>
      <t xml:space="preserve">：语言课、托育和口译服务的合作帮助家庭理解有哪些服务。</t>
    </r>
    <r>
      <rPr>
        <sz val="10"/>
        <rFont val="Arial"/>
        <family val="0"/>
        <charset val="1"/>
      </rPr>
      <t xml:space="preserve">Theme 3 </t>
    </r>
    <r>
      <rPr>
        <sz val="10"/>
        <rFont val="WenQuanYi Zen Hei"/>
        <family val="2"/>
      </rPr>
      <t xml:space="preserve">用 </t>
    </r>
    <r>
      <rPr>
        <sz val="10"/>
        <rFont val="Arial"/>
        <family val="0"/>
        <charset val="1"/>
      </rPr>
      <t xml:space="preserve">p. 90</t>
    </r>
    <r>
      <rPr>
        <sz val="10"/>
        <rFont val="WenQuanYi Zen Hei"/>
        <family val="2"/>
      </rPr>
      <t xml:space="preserve">：文化和语言多样的教育者营造文化回应的环境。要写明这是服务提供者的观点。</t>
    </r>
  </si>
  <si>
    <t xml:space="preserve">加拿大</t>
  </si>
  <si>
    <r>
      <rPr>
        <sz val="10"/>
        <rFont val="Arial"/>
        <family val="0"/>
        <charset val="1"/>
      </rPr>
      <t xml:space="preserve">PDF </t>
    </r>
    <r>
      <rPr>
        <sz val="10"/>
        <rFont val="WenQuanYi Zen Hei"/>
        <family val="2"/>
      </rPr>
      <t xml:space="preserve">已读 </t>
    </r>
    <r>
      <rPr>
        <sz val="10"/>
        <rFont val="Arial"/>
        <family val="0"/>
        <charset val="1"/>
      </rPr>
      <t xml:space="preserve">(pp. 90–91 </t>
    </r>
    <r>
      <rPr>
        <sz val="10"/>
        <rFont val="WenQuanYi Zen Hei"/>
        <family val="2"/>
      </rPr>
      <t xml:space="preserve">本次新核</t>
    </r>
    <r>
      <rPr>
        <sz val="10"/>
        <rFont val="Arial"/>
        <family val="0"/>
        <charset val="1"/>
      </rPr>
      <t xml:space="preserve">)</t>
    </r>
  </si>
  <si>
    <t xml:space="preserve">S04</t>
  </si>
  <si>
    <t xml:space="preserve">Finno-Velasquez et al. (2025)</t>
  </si>
  <si>
    <r>
      <rPr>
        <sz val="10"/>
        <rFont val="WenQuanYi Zen Hei"/>
        <family val="2"/>
      </rPr>
      <t xml:space="preserve">美国 </t>
    </r>
    <r>
      <rPr>
        <sz val="10"/>
        <rFont val="Arial"/>
        <family val="0"/>
        <charset val="1"/>
      </rPr>
      <t xml:space="preserve">(</t>
    </r>
    <r>
      <rPr>
        <sz val="10"/>
        <rFont val="WenQuanYi Zen Hei"/>
        <family val="2"/>
      </rPr>
      <t xml:space="preserve">新墨西哥州边境</t>
    </r>
    <r>
      <rPr>
        <sz val="10"/>
        <rFont val="Arial"/>
        <family val="0"/>
        <charset val="1"/>
      </rPr>
      <t xml:space="preserve">)</t>
    </r>
  </si>
  <si>
    <r>
      <rPr>
        <sz val="10"/>
        <rFont val="Arial"/>
        <family val="0"/>
        <charset val="1"/>
      </rPr>
      <t xml:space="preserve">227 </t>
    </r>
    <r>
      <rPr>
        <sz val="10"/>
        <rFont val="WenQuanYi Zen Hei"/>
        <family val="2"/>
      </rPr>
      <t xml:space="preserve">名移民照护者</t>
    </r>
  </si>
  <si>
    <r>
      <rPr>
        <sz val="10"/>
        <rFont val="Arial"/>
        <family val="0"/>
        <charset val="1"/>
      </rPr>
      <t xml:space="preserve">Theme 2 (</t>
    </r>
    <r>
      <rPr>
        <sz val="10"/>
        <rFont val="WenQuanYi Zen Hei"/>
        <family val="2"/>
      </rPr>
      <t xml:space="preserve">旧</t>
    </r>
    <r>
      <rPr>
        <sz val="10"/>
        <rFont val="Arial"/>
        <family val="0"/>
        <charset val="1"/>
      </rPr>
      <t xml:space="preserve">); Theme 3 (</t>
    </r>
    <r>
      <rPr>
        <sz val="10"/>
        <rFont val="WenQuanYi Zen Hei"/>
        <family val="2"/>
      </rPr>
      <t xml:space="preserve">旧</t>
    </r>
    <r>
      <rPr>
        <sz val="10"/>
        <rFont val="Arial"/>
        <family val="0"/>
        <charset val="1"/>
      </rPr>
      <t xml:space="preserve">)</t>
    </r>
  </si>
  <si>
    <r>
      <rPr>
        <sz val="10"/>
        <rFont val="Arial"/>
        <family val="0"/>
        <charset val="1"/>
      </rPr>
      <t xml:space="preserve">p. 8: 32.6% </t>
    </r>
    <r>
      <rPr>
        <sz val="10"/>
        <rFont val="WenQuanYi Zen Hei"/>
        <family val="2"/>
      </rPr>
      <t xml:space="preserve">用过补贴，</t>
    </r>
    <r>
      <rPr>
        <sz val="10"/>
        <rFont val="Arial"/>
        <family val="0"/>
        <charset val="1"/>
      </rPr>
      <t xml:space="preserve">34.4% </t>
    </r>
    <r>
      <rPr>
        <sz val="10"/>
        <rFont val="WenQuanYi Zen Hei"/>
        <family val="2"/>
      </rPr>
      <t xml:space="preserve">用过正规托育。</t>
    </r>
    <r>
      <rPr>
        <sz val="10"/>
        <rFont val="Arial"/>
        <family val="0"/>
        <charset val="1"/>
      </rPr>
      <t xml:space="preserve">p. 5: help-seeking </t>
    </r>
    <r>
      <rPr>
        <sz val="10"/>
        <rFont val="WenQuanYi Zen Hei"/>
        <family val="2"/>
      </rPr>
      <t xml:space="preserve">量表测的是对专业心理帮助的态度。</t>
    </r>
    <r>
      <rPr>
        <sz val="10"/>
        <rFont val="Arial"/>
        <family val="0"/>
        <charset val="1"/>
      </rPr>
      <t xml:space="preserve">p. 10: </t>
    </r>
    <r>
      <rPr>
        <sz val="10"/>
        <rFont val="WenQuanYi Zen Hei"/>
        <family val="2"/>
      </rPr>
      <t xml:space="preserve">横断面设计，可能存在反向因果。</t>
    </r>
  </si>
  <si>
    <t xml:space="preserve">低–中</t>
  </si>
  <si>
    <t xml:space="preserve">F23, F28</t>
  </si>
  <si>
    <r>
      <rPr>
        <b val="true"/>
        <sz val="10"/>
        <rFont val="WenQuanYi Zen Hei"/>
        <family val="2"/>
      </rPr>
      <t xml:space="preserve">删除 </t>
    </r>
    <r>
      <rPr>
        <b val="true"/>
        <sz val="10"/>
        <rFont val="Arial"/>
        <family val="0"/>
        <charset val="1"/>
      </rPr>
      <t xml:space="preserve">(</t>
    </r>
    <r>
      <rPr>
        <b val="true"/>
        <sz val="10"/>
        <rFont val="WenQuanYi Zen Hei"/>
        <family val="2"/>
      </rPr>
      <t xml:space="preserve">或只在 </t>
    </r>
    <r>
      <rPr>
        <b val="true"/>
        <sz val="10"/>
        <rFont val="Arial"/>
        <family val="0"/>
        <charset val="1"/>
      </rPr>
      <t xml:space="preserve">Conclusion </t>
    </r>
    <r>
      <rPr>
        <b val="true"/>
        <sz val="10"/>
        <rFont val="WenQuanYi Zen Hei"/>
        <family val="2"/>
      </rPr>
      <t xml:space="preserve">用一次</t>
    </r>
    <r>
      <rPr>
        <b val="true"/>
        <sz val="10"/>
        <rFont val="Arial"/>
        <family val="0"/>
        <charset val="1"/>
      </rPr>
      <t xml:space="preserve">)</t>
    </r>
  </si>
  <si>
    <r>
      <rPr>
        <sz val="10"/>
        <rFont val="Arial"/>
        <family val="0"/>
        <charset val="1"/>
      </rPr>
      <t xml:space="preserve">Conclusion (</t>
    </r>
    <r>
      <rPr>
        <sz val="10"/>
        <rFont val="WenQuanYi Zen Hei"/>
        <family val="2"/>
      </rPr>
      <t xml:space="preserve">可选</t>
    </r>
    <r>
      <rPr>
        <sz val="10"/>
        <rFont val="Arial"/>
        <family val="0"/>
        <charset val="1"/>
      </rPr>
      <t xml:space="preserve">)</t>
    </r>
  </si>
  <si>
    <r>
      <rPr>
        <sz val="10"/>
        <rFont val="WenQuanYi Zen Hei"/>
        <family val="2"/>
      </rPr>
      <t xml:space="preserve">正文主题段删除：美国研究，测的是单一时间点的使用，不是理解 → 使用。若要支撑缺口“多数研究只看单一时间点”</t>
    </r>
    <r>
      <rPr>
        <sz val="10"/>
        <rFont val="Arial"/>
        <family val="0"/>
        <charset val="1"/>
      </rPr>
      <t xml:space="preserve">(F28)</t>
    </r>
    <r>
      <rPr>
        <sz val="10"/>
        <rFont val="WenQuanYi Zen Hei"/>
        <family val="2"/>
      </rPr>
      <t xml:space="preserve">，可在结论里用一次 </t>
    </r>
    <r>
      <rPr>
        <sz val="10"/>
        <rFont val="Arial"/>
        <family val="0"/>
        <charset val="1"/>
      </rPr>
      <t xml:space="preserve">(p. 10)</t>
    </r>
    <r>
      <rPr>
        <sz val="10"/>
        <rFont val="WenQuanYi Zen Hei"/>
        <family val="2"/>
      </rPr>
      <t xml:space="preserve">；否则连同 </t>
    </r>
    <r>
      <rPr>
        <sz val="10"/>
        <rFont val="Arial"/>
        <family val="0"/>
        <charset val="1"/>
      </rPr>
      <t xml:space="preserve">References </t>
    </r>
    <r>
      <rPr>
        <sz val="10"/>
        <rFont val="WenQuanYi Zen Hei"/>
        <family val="2"/>
      </rPr>
      <t xml:space="preserve">一起删。</t>
    </r>
  </si>
  <si>
    <t xml:space="preserve">不点名</t>
  </si>
  <si>
    <r>
      <rPr>
        <sz val="10"/>
        <rFont val="WenQuanYi Zen Hei"/>
        <family val="2"/>
      </rPr>
      <t xml:space="preserve">已列入 </t>
    </r>
    <r>
      <rPr>
        <sz val="10"/>
        <rFont val="Arial"/>
        <family val="0"/>
        <charset val="1"/>
      </rPr>
      <t xml:space="preserve">(</t>
    </r>
    <r>
      <rPr>
        <sz val="10"/>
        <rFont val="WenQuanYi Zen Hei"/>
        <family val="2"/>
      </rPr>
      <t xml:space="preserve">若删须同步删</t>
    </r>
    <r>
      <rPr>
        <sz val="10"/>
        <rFont val="Arial"/>
        <family val="0"/>
        <charset val="1"/>
      </rPr>
      <t xml:space="preserve">)</t>
    </r>
  </si>
  <si>
    <t xml:space="preserve">否</t>
  </si>
  <si>
    <t xml:space="preserve">S05</t>
  </si>
  <si>
    <r>
      <rPr>
        <sz val="10"/>
        <rFont val="WenQuanYi Zen Hei"/>
        <family val="2"/>
      </rPr>
      <t xml:space="preserve">原始研究 </t>
    </r>
    <r>
      <rPr>
        <sz val="10"/>
        <rFont val="Arial"/>
        <family val="0"/>
        <charset val="1"/>
      </rPr>
      <t xml:space="preserve">· </t>
    </r>
    <r>
      <rPr>
        <sz val="10"/>
        <rFont val="WenQuanYi Zen Hei"/>
        <family val="2"/>
      </rPr>
      <t xml:space="preserve">访谈 </t>
    </r>
    <r>
      <rPr>
        <sz val="10"/>
        <rFont val="Arial"/>
        <family val="0"/>
        <charset val="1"/>
      </rPr>
      <t xml:space="preserve">/ </t>
    </r>
    <r>
      <rPr>
        <sz val="10"/>
        <rFont val="WenQuanYi Zen Hei"/>
        <family val="2"/>
      </rPr>
      <t xml:space="preserve">焦点小组</t>
    </r>
  </si>
  <si>
    <r>
      <rPr>
        <sz val="10"/>
        <rFont val="WenQuanYi Zen Hei"/>
        <family val="2"/>
      </rPr>
      <t xml:space="preserve">美国 </t>
    </r>
    <r>
      <rPr>
        <sz val="10"/>
        <rFont val="Arial"/>
        <family val="0"/>
        <charset val="1"/>
      </rPr>
      <t xml:space="preserve">(</t>
    </r>
    <r>
      <rPr>
        <sz val="10"/>
        <rFont val="WenQuanYi Zen Hei"/>
        <family val="2"/>
      </rPr>
      <t xml:space="preserve">新墨西哥州</t>
    </r>
    <r>
      <rPr>
        <sz val="10"/>
        <rFont val="Arial"/>
        <family val="0"/>
        <charset val="1"/>
      </rPr>
      <t xml:space="preserve">)</t>
    </r>
  </si>
  <si>
    <t xml:space="preserve">原住民、移民、难民、西语家庭</t>
  </si>
  <si>
    <r>
      <rPr>
        <sz val="10"/>
        <rFont val="WenQuanYi Zen Hei"/>
        <family val="2"/>
      </rPr>
      <t xml:space="preserve">是 </t>
    </r>
    <r>
      <rPr>
        <sz val="10"/>
        <rFont val="Arial"/>
        <family val="0"/>
        <charset val="1"/>
      </rPr>
      <t xml:space="preserve">(</t>
    </r>
    <r>
      <rPr>
        <sz val="10"/>
        <rFont val="WenQuanYi Zen Hei"/>
        <family val="2"/>
      </rPr>
      <t xml:space="preserve">部分</t>
    </r>
    <r>
      <rPr>
        <sz val="10"/>
        <rFont val="Arial"/>
        <family val="0"/>
        <charset val="1"/>
      </rPr>
      <t xml:space="preserve">)</t>
    </r>
  </si>
  <si>
    <r>
      <rPr>
        <sz val="10"/>
        <rFont val="Arial"/>
        <family val="0"/>
        <charset val="1"/>
      </rPr>
      <t xml:space="preserve">Theme 1; Theme 2 (</t>
    </r>
    <r>
      <rPr>
        <sz val="10"/>
        <rFont val="WenQuanYi Zen Hei"/>
        <family val="2"/>
      </rPr>
      <t xml:space="preserve">教授输入的句子</t>
    </r>
    <r>
      <rPr>
        <sz val="10"/>
        <rFont val="Arial"/>
        <family val="0"/>
        <charset val="1"/>
      </rPr>
      <t xml:space="preserve">); Conclusion</t>
    </r>
  </si>
  <si>
    <r>
      <rPr>
        <sz val="10"/>
        <rFont val="Arial"/>
        <family val="0"/>
        <charset val="1"/>
      </rPr>
      <t xml:space="preserve">p. 398: </t>
    </r>
    <r>
      <rPr>
        <sz val="10"/>
        <rFont val="WenQuanYi Zen Hei"/>
        <family val="2"/>
      </rPr>
      <t xml:space="preserve">有人听说过补贴项目但以为自己不合格；了解补贴的途径零散，多从亲友或服务提供者那里听说。</t>
    </r>
    <r>
      <rPr>
        <sz val="10"/>
        <rFont val="Arial"/>
        <family val="0"/>
        <charset val="1"/>
      </rPr>
      <t xml:space="preserve">p. 400: </t>
    </r>
    <r>
      <rPr>
        <sz val="10"/>
        <rFont val="WenQuanYi Zen Hei"/>
        <family val="2"/>
      </rPr>
      <t xml:space="preserve">刚到美国的家庭 </t>
    </r>
    <r>
      <rPr>
        <sz val="10"/>
        <rFont val="Arial"/>
        <family val="0"/>
        <charset val="1"/>
      </rPr>
      <t xml:space="preserve">"did not understand the early childhood system"</t>
    </r>
    <r>
      <rPr>
        <sz val="10"/>
        <rFont val="WenQuanYi Zen Hei"/>
        <family val="2"/>
      </rPr>
      <t xml:space="preserve">；托育系统 </t>
    </r>
    <r>
      <rPr>
        <sz val="10"/>
        <rFont val="Arial"/>
        <family val="0"/>
        <charset val="1"/>
      </rPr>
      <t xml:space="preserve">"complicated and hard to understand"</t>
    </r>
    <r>
      <rPr>
        <sz val="10"/>
        <rFont val="WenQuanYi Zen Hei"/>
        <family val="2"/>
      </rPr>
      <t xml:space="preserve">；安置导航员的帮助参差不齐，有的没把家庭连接到服务；申请表没有家庭的语言版本，连帮忙的英语志愿导航员也觉得难懂；西语家庭不知道多数 </t>
    </r>
    <r>
      <rPr>
        <sz val="10"/>
        <rFont val="Arial"/>
        <family val="0"/>
        <charset val="1"/>
      </rPr>
      <t xml:space="preserve">copay </t>
    </r>
    <r>
      <rPr>
        <sz val="10"/>
        <rFont val="WenQuanYi Zen Hei"/>
        <family val="2"/>
      </rPr>
      <t xml:space="preserve">已被免除。</t>
    </r>
  </si>
  <si>
    <t xml:space="preserve">F13, F16, F17</t>
  </si>
  <si>
    <t xml:space="preserve">Theme 1 + Theme 2</t>
  </si>
  <si>
    <r>
      <rPr>
        <sz val="10"/>
        <rFont val="Arial"/>
        <family val="0"/>
        <charset val="1"/>
      </rPr>
      <t xml:space="preserve">Theme 1</t>
    </r>
    <r>
      <rPr>
        <sz val="10"/>
        <rFont val="WenQuanYi Zen Hei"/>
        <family val="2"/>
      </rPr>
      <t xml:space="preserve">：新移民不了解早期服务体系，不知道 </t>
    </r>
    <r>
      <rPr>
        <sz val="10"/>
        <rFont val="Arial"/>
        <family val="0"/>
        <charset val="1"/>
      </rPr>
      <t xml:space="preserve">copay </t>
    </r>
    <r>
      <rPr>
        <sz val="10"/>
        <rFont val="WenQuanYi Zen Hei"/>
        <family val="2"/>
      </rPr>
      <t xml:space="preserve">已免，听说过却以为自己不合格 </t>
    </r>
    <r>
      <rPr>
        <sz val="10"/>
        <rFont val="Arial"/>
        <family val="0"/>
        <charset val="1"/>
      </rPr>
      <t xml:space="preserve">(pp. 398, 400)</t>
    </r>
    <r>
      <rPr>
        <sz val="10"/>
        <rFont val="WenQuanYi Zen Hei"/>
        <family val="2"/>
      </rPr>
      <t xml:space="preserve">，这正是教授的论点。</t>
    </r>
    <r>
      <rPr>
        <sz val="10"/>
        <rFont val="Arial"/>
        <family val="0"/>
        <charset val="1"/>
      </rPr>
      <t xml:space="preserve">Theme 2</t>
    </r>
    <r>
      <rPr>
        <sz val="10"/>
        <rFont val="WenQuanYi Zen Hei"/>
        <family val="2"/>
      </rPr>
      <t xml:space="preserve">：导航员有帮助但不稳定，连导航员也看不懂表格 </t>
    </r>
    <r>
      <rPr>
        <sz val="10"/>
        <rFont val="Arial"/>
        <family val="0"/>
        <charset val="1"/>
      </rPr>
      <t xml:space="preserve">(p. 400)</t>
    </r>
    <r>
      <rPr>
        <sz val="10"/>
        <rFont val="WenQuanYi Zen Hei"/>
        <family val="2"/>
      </rPr>
      <t xml:space="preserve">。引用必须写 </t>
    </r>
    <r>
      <rPr>
        <sz val="10"/>
        <rFont val="Arial"/>
        <family val="0"/>
        <charset val="1"/>
      </rPr>
      <t xml:space="preserve">Heinz, Bell, et al. (2025)</t>
    </r>
    <r>
      <rPr>
        <sz val="10"/>
        <rFont val="WenQuanYi Zen Hei"/>
        <family val="2"/>
      </rPr>
      <t xml:space="preserve">，不能写 </t>
    </r>
    <r>
      <rPr>
        <sz val="10"/>
        <rFont val="Arial"/>
        <family val="0"/>
        <charset val="1"/>
      </rPr>
      <t xml:space="preserve">Bell et al.</t>
    </r>
    <r>
      <rPr>
        <sz val="10"/>
        <rFont val="WenQuanYi Zen Hei"/>
        <family val="2"/>
      </rPr>
      <t xml:space="preserve">。</t>
    </r>
  </si>
  <si>
    <r>
      <rPr>
        <sz val="10"/>
        <rFont val="WenQuanYi Zen Hei"/>
        <family val="2"/>
      </rPr>
      <t xml:space="preserve">删去 </t>
    </r>
    <r>
      <rPr>
        <sz val="10"/>
        <rFont val="Arial"/>
        <family val="0"/>
        <charset val="1"/>
      </rPr>
      <t xml:space="preserve">"New Mexico"</t>
    </r>
  </si>
  <si>
    <r>
      <rPr>
        <sz val="10"/>
        <rFont val="Arial"/>
        <family val="0"/>
        <charset val="1"/>
      </rPr>
      <t xml:space="preserve">PDF </t>
    </r>
    <r>
      <rPr>
        <sz val="10"/>
        <rFont val="WenQuanYi Zen Hei"/>
        <family val="2"/>
      </rPr>
      <t xml:space="preserve">已读 </t>
    </r>
    <r>
      <rPr>
        <sz val="10"/>
        <rFont val="Arial"/>
        <family val="0"/>
        <charset val="1"/>
      </rPr>
      <t xml:space="preserve">(</t>
    </r>
    <r>
      <rPr>
        <sz val="10"/>
        <rFont val="WenQuanYi Zen Hei"/>
        <family val="2"/>
      </rPr>
      <t xml:space="preserve">印刷页 </t>
    </r>
    <r>
      <rPr>
        <sz val="10"/>
        <rFont val="Arial"/>
        <family val="0"/>
        <charset val="1"/>
      </rPr>
      <t xml:space="preserve">= PDF </t>
    </r>
    <r>
      <rPr>
        <sz val="10"/>
        <rFont val="WenQuanYi Zen Hei"/>
        <family val="2"/>
      </rPr>
      <t xml:space="preserve">页 </t>
    </r>
    <r>
      <rPr>
        <sz val="10"/>
        <rFont val="Arial"/>
        <family val="0"/>
        <charset val="1"/>
      </rPr>
      <t xml:space="preserve">+ 392)</t>
    </r>
  </si>
  <si>
    <t xml:space="preserve">S06</t>
  </si>
  <si>
    <t xml:space="preserve">Heinz, Nava, et al. (2025)</t>
  </si>
  <si>
    <r>
      <rPr>
        <sz val="10"/>
        <rFont val="WenQuanYi Zen Hei"/>
        <family val="2"/>
      </rPr>
      <t xml:space="preserve">原始研究 </t>
    </r>
    <r>
      <rPr>
        <sz val="10"/>
        <rFont val="Arial"/>
        <family val="0"/>
        <charset val="1"/>
      </rPr>
      <t xml:space="preserve">· </t>
    </r>
    <r>
      <rPr>
        <sz val="10"/>
        <rFont val="WenQuanYi Zen Hei"/>
        <family val="2"/>
      </rPr>
      <t xml:space="preserve">混合方法</t>
    </r>
  </si>
  <si>
    <r>
      <rPr>
        <sz val="10"/>
        <rFont val="WenQuanYi Zen Hei"/>
        <family val="2"/>
      </rPr>
      <t xml:space="preserve">通过 </t>
    </r>
    <r>
      <rPr>
        <sz val="10"/>
        <rFont val="Arial"/>
        <family val="0"/>
        <charset val="1"/>
      </rPr>
      <t xml:space="preserve">WIC </t>
    </r>
    <r>
      <rPr>
        <sz val="10"/>
        <rFont val="WenQuanYi Zen Hei"/>
        <family val="2"/>
      </rPr>
      <t xml:space="preserve">招募的家长 </t>
    </r>
    <r>
      <rPr>
        <sz val="10"/>
        <rFont val="Arial"/>
        <family val="0"/>
        <charset val="1"/>
      </rPr>
      <t xml:space="preserve">(</t>
    </r>
    <r>
      <rPr>
        <sz val="10"/>
        <rFont val="WenQuanYi Zen Hei"/>
        <family val="2"/>
      </rPr>
      <t xml:space="preserve">一般样本</t>
    </r>
    <r>
      <rPr>
        <sz val="10"/>
        <rFont val="Arial"/>
        <family val="0"/>
        <charset val="1"/>
      </rPr>
      <t xml:space="preserve">)</t>
    </r>
  </si>
  <si>
    <t xml:space="preserve">Theme 1; Conclusion</t>
  </si>
  <si>
    <r>
      <rPr>
        <sz val="10"/>
        <rFont val="Arial"/>
        <family val="0"/>
        <charset val="1"/>
      </rPr>
      <t xml:space="preserve">p. 2: </t>
    </r>
    <r>
      <rPr>
        <sz val="10"/>
        <rFont val="WenQuanYi Zen Hei"/>
        <family val="2"/>
      </rPr>
      <t xml:space="preserve">补贴资格到 </t>
    </r>
    <r>
      <rPr>
        <sz val="10"/>
        <rFont val="Arial"/>
        <family val="0"/>
        <charset val="1"/>
      </rPr>
      <t xml:space="preserve">400% FPL</t>
    </r>
    <r>
      <rPr>
        <sz val="10"/>
        <rFont val="WenQuanYi Zen Hei"/>
        <family val="2"/>
      </rPr>
      <t xml:space="preserve">，没有等候名单。</t>
    </r>
    <r>
      <rPr>
        <sz val="10"/>
        <rFont val="Arial"/>
        <family val="0"/>
        <charset val="1"/>
      </rPr>
      <t xml:space="preserve">pp. 4–5: 6 </t>
    </r>
    <r>
      <rPr>
        <sz val="10"/>
        <rFont val="WenQuanYi Zen Hei"/>
        <family val="2"/>
      </rPr>
      <t xml:space="preserve">名未使用者在 </t>
    </r>
    <r>
      <rPr>
        <sz val="10"/>
        <rFont val="Arial"/>
        <family val="0"/>
        <charset val="1"/>
      </rPr>
      <t xml:space="preserve">2021 </t>
    </r>
    <r>
      <rPr>
        <sz val="10"/>
        <rFont val="WenQuanYi Zen Hei"/>
        <family val="2"/>
      </rPr>
      <t xml:space="preserve">年扩大资格前申请，被告知不合格。</t>
    </r>
    <r>
      <rPr>
        <sz val="10"/>
        <rFont val="Arial"/>
        <family val="0"/>
        <charset val="1"/>
      </rPr>
      <t xml:space="preserve">p. 4 Table 2: 35% (n = 12) </t>
    </r>
    <r>
      <rPr>
        <sz val="10"/>
        <rFont val="WenQuanYi Zen Hei"/>
        <family val="2"/>
      </rPr>
      <t xml:space="preserve">的未使用者不知道有补贴。</t>
    </r>
  </si>
  <si>
    <t xml:space="preserve">中</t>
  </si>
  <si>
    <r>
      <rPr>
        <b val="true"/>
        <sz val="10"/>
        <rFont val="WenQuanYi Zen Hei"/>
        <family val="2"/>
      </rPr>
      <t xml:space="preserve">保留</t>
    </r>
    <r>
      <rPr>
        <b val="true"/>
        <sz val="10"/>
        <rFont val="Arial"/>
        <family val="0"/>
        <charset val="1"/>
      </rPr>
      <t xml:space="preserve">·</t>
    </r>
    <r>
      <rPr>
        <b val="true"/>
        <sz val="10"/>
        <rFont val="WenQuanYi Zen Hei"/>
        <family val="2"/>
      </rPr>
      <t xml:space="preserve">压缩</t>
    </r>
  </si>
  <si>
    <r>
      <rPr>
        <sz val="10"/>
        <rFont val="Arial"/>
        <family val="0"/>
        <charset val="1"/>
      </rPr>
      <t xml:space="preserve">Theme 1 </t>
    </r>
    <r>
      <rPr>
        <sz val="10"/>
        <rFont val="WenQuanYi Zen Hei"/>
        <family val="2"/>
      </rPr>
      <t xml:space="preserve">用一句：有些家庭按过时的收入标准被告知不合格，之后没有再申请 </t>
    </r>
    <r>
      <rPr>
        <sz val="10"/>
        <rFont val="Arial"/>
        <family val="0"/>
        <charset val="1"/>
      </rPr>
      <t xml:space="preserve">(pp. 4–5)</t>
    </r>
    <r>
      <rPr>
        <sz val="10"/>
        <rFont val="WenQuanYi Zen Hei"/>
        <family val="2"/>
      </rPr>
      <t xml:space="preserve">。写明不是新移民样本。⚠ 现稿把 </t>
    </r>
    <r>
      <rPr>
        <sz val="10"/>
        <rFont val="Arial"/>
        <family val="0"/>
        <charset val="1"/>
      </rPr>
      <t xml:space="preserve">Nava </t>
    </r>
    <r>
      <rPr>
        <sz val="10"/>
        <rFont val="WenQuanYi Zen Hei"/>
        <family val="2"/>
      </rPr>
      <t xml:space="preserve">的 </t>
    </r>
    <r>
      <rPr>
        <sz val="10"/>
        <rFont val="Arial"/>
        <family val="0"/>
        <charset val="1"/>
      </rPr>
      <t xml:space="preserve">400% FPL </t>
    </r>
    <r>
      <rPr>
        <sz val="10"/>
        <rFont val="WenQuanYi Zen Hei"/>
        <family val="2"/>
      </rPr>
      <t xml:space="preserve">和无等候名单 </t>
    </r>
    <r>
      <rPr>
        <sz val="10"/>
        <rFont val="Arial"/>
        <family val="0"/>
        <charset val="1"/>
      </rPr>
      <t xml:space="preserve">(p. 2) </t>
    </r>
    <r>
      <rPr>
        <sz val="10"/>
        <rFont val="WenQuanYi Zen Hei"/>
        <family val="2"/>
      </rPr>
      <t xml:space="preserve">与 </t>
    </r>
    <r>
      <rPr>
        <sz val="10"/>
        <rFont val="Arial"/>
        <family val="0"/>
        <charset val="1"/>
      </rPr>
      <t xml:space="preserve">Bell </t>
    </r>
    <r>
      <rPr>
        <sz val="10"/>
        <rFont val="WenQuanYi Zen Hei"/>
        <family val="2"/>
      </rPr>
      <t xml:space="preserve">的“移民、难民、西语家长不知道自己合格”</t>
    </r>
    <r>
      <rPr>
        <sz val="10"/>
        <rFont val="Arial"/>
        <family val="0"/>
        <charset val="1"/>
      </rPr>
      <t xml:space="preserve">(pp. 398, 400) </t>
    </r>
    <r>
      <rPr>
        <sz val="10"/>
        <rFont val="WenQuanYi Zen Hei"/>
        <family val="2"/>
      </rPr>
      <t xml:space="preserve">混成一个 </t>
    </r>
    <r>
      <rPr>
        <sz val="10"/>
        <rFont val="Arial"/>
        <family val="0"/>
        <charset val="1"/>
      </rPr>
      <t xml:space="preserve">"Heinz et al. (2025)"</t>
    </r>
    <r>
      <rPr>
        <sz val="10"/>
        <rFont val="WenQuanYi Zen Hei"/>
        <family val="2"/>
      </rPr>
      <t xml:space="preserve">，必须拆成两个引用。</t>
    </r>
  </si>
  <si>
    <t xml:space="preserve">S07</t>
  </si>
  <si>
    <t xml:space="preserve">Lee et al. (2026)</t>
  </si>
  <si>
    <r>
      <rPr>
        <sz val="10"/>
        <rFont val="WenQuanYi Zen Hei"/>
        <family val="2"/>
      </rPr>
      <t xml:space="preserve">原始研究 </t>
    </r>
    <r>
      <rPr>
        <sz val="10"/>
        <rFont val="Arial"/>
        <family val="0"/>
        <charset val="1"/>
      </rPr>
      <t xml:space="preserve">· </t>
    </r>
    <r>
      <rPr>
        <sz val="10"/>
        <rFont val="WenQuanYi Zen Hei"/>
        <family val="2"/>
      </rPr>
      <t xml:space="preserve">质性</t>
    </r>
  </si>
  <si>
    <r>
      <rPr>
        <sz val="10"/>
        <rFont val="WenQuanYi Zen Hei"/>
        <family val="2"/>
      </rPr>
      <t xml:space="preserve">美国 </t>
    </r>
    <r>
      <rPr>
        <sz val="10"/>
        <rFont val="Arial"/>
        <family val="0"/>
        <charset val="1"/>
      </rPr>
      <t xml:space="preserve">(</t>
    </r>
    <r>
      <rPr>
        <sz val="10"/>
        <rFont val="WenQuanYi Zen Hei"/>
        <family val="2"/>
      </rPr>
      <t xml:space="preserve">密苏里州</t>
    </r>
    <r>
      <rPr>
        <sz val="10"/>
        <rFont val="Arial"/>
        <family val="0"/>
        <charset val="1"/>
      </rPr>
      <t xml:space="preserve">)</t>
    </r>
  </si>
  <si>
    <r>
      <rPr>
        <sz val="10"/>
        <rFont val="WenQuanYi Zen Hei"/>
        <family val="2"/>
      </rPr>
      <t xml:space="preserve">移民母亲 </t>
    </r>
    <r>
      <rPr>
        <sz val="10"/>
        <rFont val="Arial"/>
        <family val="0"/>
        <charset val="1"/>
      </rPr>
      <t xml:space="preserve">(WIC </t>
    </r>
    <r>
      <rPr>
        <sz val="10"/>
        <rFont val="WenQuanYi Zen Hei"/>
        <family val="2"/>
      </rPr>
      <t xml:space="preserve">营养项目</t>
    </r>
    <r>
      <rPr>
        <sz val="10"/>
        <rFont val="Arial"/>
        <family val="0"/>
        <charset val="1"/>
      </rPr>
      <t xml:space="preserve">)</t>
    </r>
  </si>
  <si>
    <r>
      <rPr>
        <sz val="10"/>
        <rFont val="WenQuanYi Zen Hei"/>
        <family val="2"/>
      </rPr>
      <t xml:space="preserve">正文未引用 </t>
    </r>
    <r>
      <rPr>
        <sz val="10"/>
        <rFont val="Arial"/>
        <family val="0"/>
        <charset val="1"/>
      </rPr>
      <t xml:space="preserve">(</t>
    </r>
    <r>
      <rPr>
        <sz val="10"/>
        <rFont val="WenQuanYi Zen Hei"/>
        <family val="2"/>
      </rPr>
      <t xml:space="preserve">只在 </t>
    </r>
    <r>
      <rPr>
        <sz val="10"/>
        <rFont val="Arial"/>
        <family val="0"/>
        <charset val="1"/>
      </rPr>
      <t xml:space="preserve">References)</t>
    </r>
  </si>
  <si>
    <r>
      <rPr>
        <sz val="10"/>
        <rFont val="Arial"/>
        <family val="0"/>
        <charset val="1"/>
      </rPr>
      <t xml:space="preserve">Sub-themes 1.1–1.3</t>
    </r>
    <r>
      <rPr>
        <sz val="10"/>
        <rFont val="WenQuanYi Zen Hei"/>
        <family val="2"/>
      </rPr>
      <t xml:space="preserve">：学习成本、合规成本 </t>
    </r>
    <r>
      <rPr>
        <sz val="10"/>
        <rFont val="Arial"/>
        <family val="0"/>
        <charset val="1"/>
      </rPr>
      <t xml:space="preserve">(</t>
    </r>
    <r>
      <rPr>
        <sz val="10"/>
        <rFont val="WenQuanYi Zen Hei"/>
        <family val="2"/>
      </rPr>
      <t xml:space="preserve">无页码</t>
    </r>
    <r>
      <rPr>
        <sz val="10"/>
        <rFont val="Arial"/>
        <family val="0"/>
        <charset val="1"/>
      </rPr>
      <t xml:space="preserve">)</t>
    </r>
    <r>
      <rPr>
        <sz val="10"/>
        <rFont val="WenQuanYi Zen Hei"/>
        <family val="2"/>
      </rPr>
      <t xml:space="preserve">。</t>
    </r>
  </si>
  <si>
    <r>
      <rPr>
        <sz val="10"/>
        <rFont val="WenQuanYi Zen Hei"/>
        <family val="2"/>
      </rPr>
      <t xml:space="preserve">低 </t>
    </r>
    <r>
      <rPr>
        <sz val="10"/>
        <rFont val="Arial"/>
        <family val="0"/>
        <charset val="1"/>
      </rPr>
      <t xml:space="preserve">(WIC </t>
    </r>
    <r>
      <rPr>
        <sz val="10"/>
        <rFont val="WenQuanYi Zen Hei"/>
        <family val="2"/>
      </rPr>
      <t xml:space="preserve">不是托育资源</t>
    </r>
    <r>
      <rPr>
        <sz val="10"/>
        <rFont val="Arial"/>
        <family val="0"/>
        <charset val="1"/>
      </rPr>
      <t xml:space="preserve">)</t>
    </r>
  </si>
  <si>
    <t xml:space="preserve">删除</t>
  </si>
  <si>
    <r>
      <rPr>
        <sz val="10"/>
        <rFont val="WenQuanYi Zen Hei"/>
        <family val="2"/>
      </rPr>
      <t xml:space="preserve">正文没有引用，</t>
    </r>
    <r>
      <rPr>
        <sz val="10"/>
        <rFont val="Arial"/>
        <family val="0"/>
        <charset val="1"/>
      </rPr>
      <t xml:space="preserve">References </t>
    </r>
    <r>
      <rPr>
        <sz val="10"/>
        <rFont val="WenQuanYi Zen Hei"/>
        <family val="2"/>
      </rPr>
      <t xml:space="preserve">里多出一条；内容是营养项目，与托育资源无关。直接从 </t>
    </r>
    <r>
      <rPr>
        <sz val="10"/>
        <rFont val="Arial"/>
        <family val="0"/>
        <charset val="1"/>
      </rPr>
      <t xml:space="preserve">References </t>
    </r>
    <r>
      <rPr>
        <sz val="10"/>
        <rFont val="WenQuanYi Zen Hei"/>
        <family val="2"/>
      </rPr>
      <t xml:space="preserve">删除。</t>
    </r>
  </si>
  <si>
    <r>
      <rPr>
        <sz val="10"/>
        <rFont val="WenQuanYi Zen Hei"/>
        <family val="2"/>
      </rPr>
      <t xml:space="preserve">从 </t>
    </r>
    <r>
      <rPr>
        <sz val="10"/>
        <rFont val="Arial"/>
        <family val="0"/>
        <charset val="1"/>
      </rPr>
      <t xml:space="preserve">References </t>
    </r>
    <r>
      <rPr>
        <sz val="10"/>
        <rFont val="WenQuanYi Zen Hei"/>
        <family val="2"/>
      </rPr>
      <t xml:space="preserve">删除</t>
    </r>
  </si>
  <si>
    <t xml:space="preserve">S08</t>
  </si>
  <si>
    <t xml:space="preserve">Loudová Stralczynská et al. (2025)</t>
  </si>
  <si>
    <t xml:space="preserve">捷克</t>
  </si>
  <si>
    <r>
      <rPr>
        <sz val="10"/>
        <rFont val="Arial"/>
        <family val="0"/>
        <charset val="1"/>
      </rPr>
      <t xml:space="preserve">15 </t>
    </r>
    <r>
      <rPr>
        <sz val="10"/>
        <rFont val="WenQuanYi Zen Hei"/>
        <family val="2"/>
      </rPr>
      <t xml:space="preserve">名乌克兰难民母亲</t>
    </r>
  </si>
  <si>
    <r>
      <rPr>
        <sz val="10"/>
        <rFont val="Arial"/>
        <family val="0"/>
        <charset val="1"/>
      </rPr>
      <t xml:space="preserve">Theme 2 (</t>
    </r>
    <r>
      <rPr>
        <sz val="10"/>
        <rFont val="WenQuanYi Zen Hei"/>
        <family val="2"/>
      </rPr>
      <t xml:space="preserve">旧</t>
    </r>
    <r>
      <rPr>
        <sz val="10"/>
        <rFont val="Arial"/>
        <family val="0"/>
        <charset val="1"/>
      </rPr>
      <t xml:space="preserve">); Theme 3 (</t>
    </r>
    <r>
      <rPr>
        <sz val="10"/>
        <rFont val="WenQuanYi Zen Hei"/>
        <family val="2"/>
      </rPr>
      <t xml:space="preserve">旧</t>
    </r>
    <r>
      <rPr>
        <sz val="10"/>
        <rFont val="Arial"/>
        <family val="0"/>
        <charset val="1"/>
      </rPr>
      <t xml:space="preserve">); Conclusion</t>
    </r>
  </si>
  <si>
    <r>
      <rPr>
        <sz val="10"/>
        <rFont val="Arial"/>
        <family val="0"/>
        <charset val="1"/>
      </rPr>
      <t xml:space="preserve">p. 7: </t>
    </r>
    <r>
      <rPr>
        <sz val="10"/>
        <rFont val="WenQuanYi Zen Hei"/>
        <family val="2"/>
      </rPr>
      <t xml:space="preserve">邻居、亲戚帮忙找学校和托育。</t>
    </r>
    <r>
      <rPr>
        <sz val="10"/>
        <rFont val="Arial"/>
        <family val="0"/>
        <charset val="1"/>
      </rPr>
      <t xml:space="preserve">p. 8: </t>
    </r>
    <r>
      <rPr>
        <sz val="10"/>
        <rFont val="WenQuanYi Zen Hei"/>
        <family val="2"/>
      </rPr>
      <t xml:space="preserve">社区中心和 </t>
    </r>
    <r>
      <rPr>
        <sz val="10"/>
        <rFont val="Arial"/>
        <family val="0"/>
        <charset val="1"/>
      </rPr>
      <t xml:space="preserve">NGO </t>
    </r>
    <r>
      <rPr>
        <sz val="10"/>
        <rFont val="WenQuanYi Zen Hei"/>
        <family val="2"/>
      </rPr>
      <t xml:space="preserve">帮助了解复杂的入园制度；入园要打几个月电话、跑多所幼儿园；常错过 </t>
    </r>
    <r>
      <rPr>
        <sz val="10"/>
        <rFont val="Arial"/>
        <family val="0"/>
        <charset val="1"/>
      </rPr>
      <t xml:space="preserve">5 </t>
    </r>
    <r>
      <rPr>
        <sz val="10"/>
        <rFont val="WenQuanYi Zen Hei"/>
        <family val="2"/>
      </rPr>
      <t xml:space="preserve">月报名期。</t>
    </r>
    <r>
      <rPr>
        <sz val="10"/>
        <rFont val="Arial"/>
        <family val="0"/>
        <charset val="1"/>
      </rPr>
      <t xml:space="preserve">pp. 9–10: </t>
    </r>
    <r>
      <rPr>
        <sz val="10"/>
        <rFont val="WenQuanYi Zen Hei"/>
        <family val="2"/>
      </rPr>
      <t xml:space="preserve">有尊重家庭的老师，也有幼儿园反复叫家长来接孩子，不考虑单亲家长的工作。</t>
    </r>
  </si>
  <si>
    <t xml:space="preserve">F20, F23</t>
  </si>
  <si>
    <r>
      <rPr>
        <sz val="10"/>
        <rFont val="Arial"/>
        <family val="0"/>
        <charset val="1"/>
      </rPr>
      <t xml:space="preserve">Theme 2 (Theme 3 </t>
    </r>
    <r>
      <rPr>
        <sz val="10"/>
        <rFont val="WenQuanYi Zen Hei"/>
        <family val="2"/>
      </rPr>
      <t xml:space="preserve">可选</t>
    </r>
    <r>
      <rPr>
        <sz val="10"/>
        <rFont val="Arial"/>
        <family val="0"/>
        <charset val="1"/>
      </rPr>
      <t xml:space="preserve">)</t>
    </r>
  </si>
  <si>
    <r>
      <rPr>
        <sz val="10"/>
        <rFont val="Arial"/>
        <family val="0"/>
        <charset val="1"/>
      </rPr>
      <t xml:space="preserve">Theme 2</t>
    </r>
    <r>
      <rPr>
        <sz val="10"/>
        <rFont val="WenQuanYi Zen Hei"/>
        <family val="2"/>
      </rPr>
      <t xml:space="preserve">：邻居、社区中心和 </t>
    </r>
    <r>
      <rPr>
        <sz val="10"/>
        <rFont val="Arial"/>
        <family val="0"/>
        <charset val="1"/>
      </rPr>
      <t xml:space="preserve">NGO </t>
    </r>
    <r>
      <rPr>
        <sz val="10"/>
        <rFont val="WenQuanYi Zen Hei"/>
        <family val="2"/>
      </rPr>
      <t xml:space="preserve">帮助家庭理解复杂的入园流程 </t>
    </r>
    <r>
      <rPr>
        <sz val="10"/>
        <rFont val="Arial"/>
        <family val="0"/>
        <charset val="1"/>
      </rPr>
      <t xml:space="preserve">(pp. 7–8)</t>
    </r>
    <r>
      <rPr>
        <sz val="10"/>
        <rFont val="WenQuanYi Zen Hei"/>
        <family val="2"/>
      </rPr>
      <t xml:space="preserve">；错过报名期说明不了解制度 </t>
    </r>
    <r>
      <rPr>
        <sz val="10"/>
        <rFont val="Arial"/>
        <family val="0"/>
        <charset val="1"/>
      </rPr>
      <t xml:space="preserve">(p. 8)</t>
    </r>
    <r>
      <rPr>
        <sz val="10"/>
        <rFont val="WenQuanYi Zen Hei"/>
        <family val="2"/>
      </rPr>
      <t xml:space="preserve">。</t>
    </r>
    <r>
      <rPr>
        <sz val="10"/>
        <rFont val="Arial"/>
        <family val="0"/>
        <charset val="1"/>
      </rPr>
      <t xml:space="preserve">Theme 3 (</t>
    </r>
    <r>
      <rPr>
        <sz val="10"/>
        <rFont val="WenQuanYi Zen Hei"/>
        <family val="2"/>
      </rPr>
      <t xml:space="preserve">可选</t>
    </r>
    <r>
      <rPr>
        <sz val="10"/>
        <rFont val="Arial"/>
        <family val="0"/>
        <charset val="1"/>
      </rPr>
      <t xml:space="preserve">)</t>
    </r>
    <r>
      <rPr>
        <sz val="10"/>
        <rFont val="WenQuanYi Zen Hei"/>
        <family val="2"/>
      </rPr>
      <t xml:space="preserve">：老师是否顾及家庭处境 </t>
    </r>
    <r>
      <rPr>
        <sz val="10"/>
        <rFont val="Arial"/>
        <family val="0"/>
        <charset val="1"/>
      </rPr>
      <t xml:space="preserve">(pp. 9–10)</t>
    </r>
    <r>
      <rPr>
        <sz val="10"/>
        <rFont val="WenQuanYi Zen Hei"/>
        <family val="2"/>
      </rPr>
      <t xml:space="preserve">。不写捷克或乌克兰。</t>
    </r>
  </si>
  <si>
    <r>
      <rPr>
        <sz val="10"/>
        <rFont val="WenQuanYi Zen Hei"/>
        <family val="2"/>
      </rPr>
      <t xml:space="preserve">删去 </t>
    </r>
    <r>
      <rPr>
        <sz val="10"/>
        <rFont val="Arial"/>
        <family val="0"/>
        <charset val="1"/>
      </rPr>
      <t xml:space="preserve">"Czech" "Ukrainian"</t>
    </r>
  </si>
  <si>
    <t xml:space="preserve">S09</t>
  </si>
  <si>
    <t xml:space="preserve">Lund (2024)</t>
  </si>
  <si>
    <t xml:space="preserve">挪威</t>
  </si>
  <si>
    <r>
      <rPr>
        <sz val="10"/>
        <rFont val="Arial"/>
        <family val="0"/>
        <charset val="1"/>
      </rPr>
      <t xml:space="preserve">12 </t>
    </r>
    <r>
      <rPr>
        <sz val="10"/>
        <rFont val="WenQuanYi Zen Hei"/>
        <family val="2"/>
      </rPr>
      <t xml:space="preserve">名难民家长 </t>
    </r>
    <r>
      <rPr>
        <sz val="10"/>
        <rFont val="Arial"/>
        <family val="0"/>
        <charset val="1"/>
      </rPr>
      <t xml:space="preserve">+ ECE </t>
    </r>
    <r>
      <rPr>
        <sz val="10"/>
        <rFont val="WenQuanYi Zen Hei"/>
        <family val="2"/>
      </rPr>
      <t xml:space="preserve">专业人员</t>
    </r>
  </si>
  <si>
    <r>
      <rPr>
        <sz val="10"/>
        <rFont val="Arial"/>
        <family val="0"/>
        <charset val="1"/>
      </rPr>
      <t xml:space="preserve">Theme 3 (</t>
    </r>
    <r>
      <rPr>
        <sz val="10"/>
        <rFont val="WenQuanYi Zen Hei"/>
        <family val="2"/>
      </rPr>
      <t xml:space="preserve">旧</t>
    </r>
    <r>
      <rPr>
        <sz val="10"/>
        <rFont val="Arial"/>
        <family val="0"/>
        <charset val="1"/>
      </rPr>
      <t xml:space="preserve">, 2 </t>
    </r>
    <r>
      <rPr>
        <sz val="10"/>
        <rFont val="WenQuanYi Zen Hei"/>
        <family val="2"/>
      </rPr>
      <t xml:space="preserve">处</t>
    </r>
    <r>
      <rPr>
        <sz val="10"/>
        <rFont val="Arial"/>
        <family val="0"/>
        <charset val="1"/>
      </rPr>
      <t xml:space="preserve">)</t>
    </r>
  </si>
  <si>
    <r>
      <rPr>
        <sz val="10"/>
        <rFont val="Arial"/>
        <family val="0"/>
        <charset val="1"/>
      </rPr>
      <t xml:space="preserve">p. 7: </t>
    </r>
    <r>
      <rPr>
        <sz val="10"/>
        <rFont val="WenQuanYi Zen Hei"/>
        <family val="2"/>
      </rPr>
      <t xml:space="preserve">口译员每年只在 </t>
    </r>
    <r>
      <rPr>
        <sz val="10"/>
        <rFont val="Arial"/>
        <family val="0"/>
        <charset val="1"/>
      </rPr>
      <t xml:space="preserve">3–4 </t>
    </r>
    <r>
      <rPr>
        <sz val="10"/>
        <rFont val="WenQuanYi Zen Hei"/>
        <family val="2"/>
      </rPr>
      <t xml:space="preserve">次会议时提供。</t>
    </r>
    <r>
      <rPr>
        <sz val="10"/>
        <rFont val="Arial"/>
        <family val="0"/>
        <charset val="1"/>
      </rPr>
      <t xml:space="preserve">p. 8: </t>
    </r>
    <r>
      <rPr>
        <sz val="10"/>
        <rFont val="WenQuanYi Zen Hei"/>
        <family val="2"/>
      </rPr>
      <t xml:space="preserve">家长希望孩子学挪威语，同时了解本族文化。</t>
    </r>
    <r>
      <rPr>
        <sz val="10"/>
        <rFont val="Arial"/>
        <family val="0"/>
        <charset val="1"/>
      </rPr>
      <t xml:space="preserve">p. 9: </t>
    </r>
    <r>
      <rPr>
        <sz val="10"/>
        <rFont val="WenQuanYi Zen Hei"/>
        <family val="2"/>
      </rPr>
      <t xml:space="preserve">一位母亲想要监控摄像头。</t>
    </r>
  </si>
  <si>
    <t xml:space="preserve">F22, F23</t>
  </si>
  <si>
    <r>
      <rPr>
        <sz val="10"/>
        <rFont val="Arial"/>
        <family val="0"/>
        <charset val="1"/>
      </rPr>
      <t xml:space="preserve">Theme 2</t>
    </r>
    <r>
      <rPr>
        <sz val="10"/>
        <rFont val="WenQuanYi Zen Hei"/>
        <family val="2"/>
      </rPr>
      <t xml:space="preserve">：口译只在每年 </t>
    </r>
    <r>
      <rPr>
        <sz val="10"/>
        <rFont val="Arial"/>
        <family val="0"/>
        <charset val="1"/>
      </rPr>
      <t xml:space="preserve">3–4 </t>
    </r>
    <r>
      <rPr>
        <sz val="10"/>
        <rFont val="WenQuanYi Zen Hei"/>
        <family val="2"/>
      </rPr>
      <t xml:space="preserve">次会议时提供，支持不足 </t>
    </r>
    <r>
      <rPr>
        <sz val="10"/>
        <rFont val="Arial"/>
        <family val="0"/>
        <charset val="1"/>
      </rPr>
      <t xml:space="preserve">(p. 7)</t>
    </r>
    <r>
      <rPr>
        <sz val="10"/>
        <rFont val="WenQuanYi Zen Hei"/>
        <family val="2"/>
      </rPr>
      <t xml:space="preserve">。</t>
    </r>
    <r>
      <rPr>
        <sz val="10"/>
        <rFont val="Arial"/>
        <family val="0"/>
        <charset val="1"/>
      </rPr>
      <t xml:space="preserve">Theme 3</t>
    </r>
    <r>
      <rPr>
        <sz val="10"/>
        <rFont val="WenQuanYi Zen Hei"/>
        <family val="2"/>
      </rPr>
      <t xml:space="preserve">：家长希望孩子学新语言，也保有本族文化 </t>
    </r>
    <r>
      <rPr>
        <sz val="10"/>
        <rFont val="Arial"/>
        <family val="0"/>
        <charset val="1"/>
      </rPr>
      <t xml:space="preserve">(p. 8)</t>
    </r>
    <r>
      <rPr>
        <sz val="10"/>
        <rFont val="WenQuanYi Zen Hei"/>
        <family val="2"/>
      </rPr>
      <t xml:space="preserve">。删去监控摄像头的例子。</t>
    </r>
  </si>
  <si>
    <r>
      <rPr>
        <sz val="10"/>
        <rFont val="WenQuanYi Zen Hei"/>
        <family val="2"/>
      </rPr>
      <t xml:space="preserve">删去 </t>
    </r>
    <r>
      <rPr>
        <sz val="10"/>
        <rFont val="Arial"/>
        <family val="0"/>
        <charset val="1"/>
      </rPr>
      <t xml:space="preserve">"Norway" "Norwegian"</t>
    </r>
  </si>
  <si>
    <t xml:space="preserve">S10</t>
  </si>
  <si>
    <t xml:space="preserve">Lund (2026)</t>
  </si>
  <si>
    <r>
      <rPr>
        <sz val="10"/>
        <rFont val="WenQuanYi Zen Hei"/>
        <family val="2"/>
      </rPr>
      <t xml:space="preserve">移民家长 </t>
    </r>
    <r>
      <rPr>
        <sz val="10"/>
        <rFont val="Arial"/>
        <family val="0"/>
        <charset val="1"/>
      </rPr>
      <t xml:space="preserve">(</t>
    </r>
    <r>
      <rPr>
        <sz val="10"/>
        <rFont val="WenQuanYi Zen Hei"/>
        <family val="2"/>
      </rPr>
      <t xml:space="preserve">含一位美国父亲</t>
    </r>
    <r>
      <rPr>
        <sz val="10"/>
        <rFont val="Arial"/>
        <family val="0"/>
        <charset val="1"/>
      </rPr>
      <t xml:space="preserve">)</t>
    </r>
  </si>
  <si>
    <r>
      <rPr>
        <sz val="10"/>
        <rFont val="Arial"/>
        <family val="0"/>
        <charset val="1"/>
      </rPr>
      <t xml:space="preserve">Theme 3 (</t>
    </r>
    <r>
      <rPr>
        <sz val="10"/>
        <rFont val="WenQuanYi Zen Hei"/>
        <family val="2"/>
      </rPr>
      <t xml:space="preserve">旧</t>
    </r>
    <r>
      <rPr>
        <sz val="10"/>
        <rFont val="Arial"/>
        <family val="0"/>
        <charset val="1"/>
      </rPr>
      <t xml:space="preserve">, 3 </t>
    </r>
    <r>
      <rPr>
        <sz val="10"/>
        <rFont val="WenQuanYi Zen Hei"/>
        <family val="2"/>
      </rPr>
      <t xml:space="preserve">处</t>
    </r>
    <r>
      <rPr>
        <sz val="10"/>
        <rFont val="Arial"/>
        <family val="0"/>
        <charset val="1"/>
      </rPr>
      <t xml:space="preserve">)</t>
    </r>
  </si>
  <si>
    <r>
      <rPr>
        <sz val="10"/>
        <rFont val="Arial"/>
        <family val="0"/>
        <charset val="1"/>
      </rPr>
      <t xml:space="preserve">p. 10: </t>
    </r>
    <r>
      <rPr>
        <sz val="10"/>
        <rFont val="WenQuanYi Zen Hei"/>
        <family val="2"/>
      </rPr>
      <t xml:space="preserve">家长等有口译的会议才谈问题。</t>
    </r>
    <r>
      <rPr>
        <sz val="10"/>
        <rFont val="Arial"/>
        <family val="0"/>
        <charset val="1"/>
      </rPr>
      <t xml:space="preserve">pp. 10–11: </t>
    </r>
    <r>
      <rPr>
        <sz val="10"/>
        <rFont val="WenQuanYi Zen Hei"/>
        <family val="2"/>
      </rPr>
      <t xml:space="preserve">美国父亲谈孩子睡眠问题的合作。</t>
    </r>
    <r>
      <rPr>
        <sz val="10"/>
        <rFont val="Arial"/>
        <family val="0"/>
        <charset val="1"/>
      </rPr>
      <t xml:space="preserve">p. 13: "belonging is conditional and unevenly distributed"</t>
    </r>
    <r>
      <rPr>
        <sz val="10"/>
        <rFont val="WenQuanYi Zen Hei"/>
        <family val="2"/>
      </rPr>
      <t xml:space="preserve">；正式获得服务并不保证被接纳。</t>
    </r>
  </si>
  <si>
    <r>
      <rPr>
        <b val="true"/>
        <sz val="10"/>
        <rFont val="WenQuanYi Zen Hei"/>
        <family val="2"/>
      </rPr>
      <t xml:space="preserve">保留</t>
    </r>
    <r>
      <rPr>
        <b val="true"/>
        <sz val="10"/>
        <rFont val="Arial"/>
        <family val="0"/>
        <charset val="1"/>
      </rPr>
      <t xml:space="preserve">·</t>
    </r>
    <r>
      <rPr>
        <b val="true"/>
        <sz val="10"/>
        <rFont val="WenQuanYi Zen Hei"/>
        <family val="2"/>
      </rPr>
      <t xml:space="preserve">压缩 </t>
    </r>
    <r>
      <rPr>
        <b val="true"/>
        <sz val="10"/>
        <rFont val="Arial"/>
        <family val="0"/>
        <charset val="1"/>
      </rPr>
      <t xml:space="preserve">(</t>
    </r>
    <r>
      <rPr>
        <b val="true"/>
        <sz val="10"/>
        <rFont val="WenQuanYi Zen Hei"/>
        <family val="2"/>
      </rPr>
      <t xml:space="preserve">篇幅紧可删</t>
    </r>
    <r>
      <rPr>
        <b val="true"/>
        <sz val="10"/>
        <rFont val="Arial"/>
        <family val="0"/>
        <charset val="1"/>
      </rPr>
      <t xml:space="preserve">)</t>
    </r>
  </si>
  <si>
    <r>
      <rPr>
        <sz val="10"/>
        <rFont val="Arial"/>
        <family val="0"/>
        <charset val="1"/>
      </rPr>
      <t xml:space="preserve">Theme 3 (1 </t>
    </r>
    <r>
      <rPr>
        <sz val="10"/>
        <rFont val="WenQuanYi Zen Hei"/>
        <family val="2"/>
      </rPr>
      <t xml:space="preserve">句</t>
    </r>
    <r>
      <rPr>
        <sz val="10"/>
        <rFont val="Arial"/>
        <family val="0"/>
        <charset val="1"/>
      </rPr>
      <t xml:space="preserve">)</t>
    </r>
  </si>
  <si>
    <r>
      <rPr>
        <sz val="10"/>
        <rFont val="WenQuanYi Zen Hei"/>
        <family val="2"/>
      </rPr>
      <t xml:space="preserve">只留 </t>
    </r>
    <r>
      <rPr>
        <sz val="10"/>
        <rFont val="Arial"/>
        <family val="0"/>
        <charset val="1"/>
      </rPr>
      <t xml:space="preserve">p. 13 </t>
    </r>
    <r>
      <rPr>
        <sz val="10"/>
        <rFont val="WenQuanYi Zen Hei"/>
        <family val="2"/>
      </rPr>
      <t xml:space="preserve">一句：获得服务不等于被接纳，因此服务需要更有回应性。删去美国父亲例子和“未说出的需要”这条线 </t>
    </r>
    <r>
      <rPr>
        <sz val="10"/>
        <rFont val="Arial"/>
        <family val="0"/>
        <charset val="1"/>
      </rPr>
      <t xml:space="preserve">(F21)</t>
    </r>
    <r>
      <rPr>
        <sz val="10"/>
        <rFont val="WenQuanYi Zen Hei"/>
        <family val="2"/>
      </rPr>
      <t xml:space="preserve">。与 </t>
    </r>
    <r>
      <rPr>
        <sz val="10"/>
        <rFont val="Arial"/>
        <family val="0"/>
        <charset val="1"/>
      </rPr>
      <t xml:space="preserve">Lund (2024) </t>
    </r>
    <r>
      <rPr>
        <sz val="10"/>
        <rFont val="WenQuanYi Zen Hei"/>
        <family val="2"/>
      </rPr>
      <t xml:space="preserve">同作者同国家，篇幅超时优先删这篇。</t>
    </r>
  </si>
  <si>
    <r>
      <rPr>
        <sz val="10"/>
        <rFont val="WenQuanYi Zen Hei"/>
        <family val="2"/>
      </rPr>
      <t xml:space="preserve">删去 </t>
    </r>
    <r>
      <rPr>
        <sz val="10"/>
        <rFont val="Arial"/>
        <family val="0"/>
        <charset val="1"/>
      </rPr>
      <t xml:space="preserve">"Norway"</t>
    </r>
  </si>
  <si>
    <t xml:space="preserve">S11</t>
  </si>
  <si>
    <t xml:space="preserve">Miles et al. (2026)</t>
  </si>
  <si>
    <r>
      <rPr>
        <sz val="10"/>
        <rFont val="WenQuanYi Zen Hei"/>
        <family val="2"/>
      </rPr>
      <t xml:space="preserve">综述 </t>
    </r>
    <r>
      <rPr>
        <sz val="10"/>
        <rFont val="Arial"/>
        <family val="0"/>
        <charset val="1"/>
      </rPr>
      <t xml:space="preserve">· </t>
    </r>
    <r>
      <rPr>
        <sz val="10"/>
        <rFont val="WenQuanYi Zen Hei"/>
        <family val="2"/>
      </rPr>
      <t xml:space="preserve">范围综述 </t>
    </r>
    <r>
      <rPr>
        <sz val="10"/>
        <rFont val="Arial"/>
        <family val="0"/>
        <charset val="1"/>
      </rPr>
      <t xml:space="preserve">(scoping review)</t>
    </r>
  </si>
  <si>
    <r>
      <rPr>
        <sz val="10"/>
        <rFont val="WenQuanYi Zen Hei"/>
        <family val="2"/>
      </rPr>
      <t xml:space="preserve">以美国研究为主 </t>
    </r>
    <r>
      <rPr>
        <sz val="10"/>
        <rFont val="Arial"/>
        <family val="0"/>
        <charset val="1"/>
      </rPr>
      <t xml:space="preserve">(</t>
    </r>
    <r>
      <rPr>
        <sz val="10"/>
        <rFont val="WenQuanYi Zen Hei"/>
        <family val="2"/>
      </rPr>
      <t xml:space="preserve">含 </t>
    </r>
    <r>
      <rPr>
        <sz val="10"/>
        <rFont val="Arial"/>
        <family val="0"/>
        <charset val="1"/>
      </rPr>
      <t xml:space="preserve">3 </t>
    </r>
    <r>
      <rPr>
        <sz val="10"/>
        <rFont val="WenQuanYi Zen Hei"/>
        <family val="2"/>
      </rPr>
      <t xml:space="preserve">篇加拿大研究</t>
    </r>
    <r>
      <rPr>
        <sz val="10"/>
        <rFont val="Arial"/>
        <family val="0"/>
        <charset val="1"/>
      </rPr>
      <t xml:space="preserve">)</t>
    </r>
  </si>
  <si>
    <r>
      <rPr>
        <sz val="10"/>
        <rFont val="Arial"/>
        <family val="0"/>
        <charset val="1"/>
      </rPr>
      <t xml:space="preserve">38 </t>
    </r>
    <r>
      <rPr>
        <sz val="10"/>
        <rFont val="WenQuanYi Zen Hei"/>
        <family val="2"/>
      </rPr>
      <t xml:space="preserve">项研究 </t>
    </r>
    <r>
      <rPr>
        <sz val="10"/>
        <rFont val="Arial"/>
        <family val="0"/>
        <charset val="1"/>
      </rPr>
      <t xml:space="preserve">(33 </t>
    </r>
    <r>
      <rPr>
        <sz val="10"/>
        <rFont val="WenQuanYi Zen Hei"/>
        <family val="2"/>
      </rPr>
      <t xml:space="preserve">篇检索 </t>
    </r>
    <r>
      <rPr>
        <sz val="10"/>
        <rFont val="Arial"/>
        <family val="0"/>
        <charset val="1"/>
      </rPr>
      <t xml:space="preserve">+ 5 </t>
    </r>
    <r>
      <rPr>
        <sz val="10"/>
        <rFont val="WenQuanYi Zen Hei"/>
        <family val="2"/>
      </rPr>
      <t xml:space="preserve">篇参考文献追溯</t>
    </r>
    <r>
      <rPr>
        <sz val="10"/>
        <rFont val="Arial"/>
        <family val="0"/>
        <charset val="1"/>
      </rPr>
      <t xml:space="preserve">)</t>
    </r>
  </si>
  <si>
    <r>
      <rPr>
        <sz val="10"/>
        <rFont val="Arial"/>
        <family val="0"/>
        <charset val="1"/>
      </rPr>
      <t xml:space="preserve">Introduction (</t>
    </r>
    <r>
      <rPr>
        <sz val="10"/>
        <rFont val="WenQuanYi Zen Hei"/>
        <family val="2"/>
      </rPr>
      <t xml:space="preserve">定义</t>
    </r>
    <r>
      <rPr>
        <sz val="10"/>
        <rFont val="Arial"/>
        <family val="0"/>
        <charset val="1"/>
      </rPr>
      <t xml:space="preserve">); Conclusion</t>
    </r>
  </si>
  <si>
    <r>
      <rPr>
        <sz val="10"/>
        <rFont val="Arial"/>
        <family val="0"/>
        <charset val="1"/>
      </rPr>
      <t xml:space="preserve">p. 186: "Newcomer families, including refugees and immigrants"</t>
    </r>
    <r>
      <rPr>
        <sz val="10"/>
        <rFont val="WenQuanYi Zen Hei"/>
        <family val="2"/>
      </rPr>
      <t xml:space="preserve">。</t>
    </r>
    <r>
      <rPr>
        <sz val="10"/>
        <rFont val="Arial"/>
        <family val="0"/>
        <charset val="1"/>
      </rPr>
      <t xml:space="preserve">p. 191: </t>
    </r>
    <r>
      <rPr>
        <sz val="10"/>
        <rFont val="WenQuanYi Zen Hei"/>
        <family val="2"/>
      </rPr>
      <t xml:space="preserve">用家庭母语做宣传、家长或社区联络人 </t>
    </r>
    <r>
      <rPr>
        <sz val="10"/>
        <rFont val="Arial"/>
        <family val="0"/>
        <charset val="1"/>
      </rPr>
      <t xml:space="preserve">(liaisons)</t>
    </r>
    <r>
      <rPr>
        <sz val="10"/>
        <rFont val="WenQuanYi Zen Hei"/>
        <family val="2"/>
      </rPr>
      <t xml:space="preserve">。</t>
    </r>
    <r>
      <rPr>
        <sz val="10"/>
        <rFont val="Arial"/>
        <family val="0"/>
        <charset val="1"/>
      </rPr>
      <t xml:space="preserve">p. 193: "Sixty-eight percent of studies discussed strategies supporting acceptability related to program responsiveness"</t>
    </r>
    <r>
      <rPr>
        <sz val="10"/>
        <rFont val="WenQuanYi Zen Hei"/>
        <family val="2"/>
      </rPr>
      <t xml:space="preserve">，包括聘请口译员、文化和语言匹配的员工。</t>
    </r>
    <r>
      <rPr>
        <sz val="10"/>
        <rFont val="Arial"/>
        <family val="0"/>
        <charset val="1"/>
      </rPr>
      <t xml:space="preserve">p. 202: </t>
    </r>
    <r>
      <rPr>
        <sz val="10"/>
        <rFont val="WenQuanYi Zen Hei"/>
        <family val="2"/>
      </rPr>
      <t xml:space="preserve">对相关因素了解有限。纳入的加拿大研究：</t>
    </r>
    <r>
      <rPr>
        <sz val="10"/>
        <rFont val="Arial"/>
        <family val="0"/>
        <charset val="1"/>
      </rPr>
      <t xml:space="preserve">Fakhari et al. (2023)</t>
    </r>
    <r>
      <rPr>
        <sz val="10"/>
        <rFont val="WenQuanYi Zen Hei"/>
        <family val="2"/>
      </rPr>
      <t xml:space="preserve">、</t>
    </r>
    <r>
      <rPr>
        <sz val="10"/>
        <rFont val="Arial"/>
        <family val="0"/>
        <charset val="1"/>
      </rPr>
      <t xml:space="preserve">Jang (2020)</t>
    </r>
    <r>
      <rPr>
        <sz val="10"/>
        <rFont val="WenQuanYi Zen Hei"/>
        <family val="2"/>
      </rPr>
      <t xml:space="preserve">、</t>
    </r>
    <r>
      <rPr>
        <sz val="10"/>
        <rFont val="Arial"/>
        <family val="0"/>
        <charset val="1"/>
      </rPr>
      <t xml:space="preserve">Poureslami et al. (2013)</t>
    </r>
    <r>
      <rPr>
        <sz val="10"/>
        <rFont val="WenQuanYi Zen Hei"/>
        <family val="2"/>
      </rPr>
      <t xml:space="preserve">。</t>
    </r>
  </si>
  <si>
    <t xml:space="preserve">F16, F22, F28</t>
  </si>
  <si>
    <r>
      <rPr>
        <b val="true"/>
        <sz val="10"/>
        <rFont val="WenQuanYi Zen Hei"/>
        <family val="2"/>
      </rPr>
      <t xml:space="preserve">保留</t>
    </r>
    <r>
      <rPr>
        <b val="true"/>
        <sz val="10"/>
        <rFont val="Arial"/>
        <family val="0"/>
        <charset val="1"/>
      </rPr>
      <t xml:space="preserve">·</t>
    </r>
    <r>
      <rPr>
        <b val="true"/>
        <sz val="10"/>
        <rFont val="WenQuanYi Zen Hei"/>
        <family val="2"/>
      </rPr>
      <t xml:space="preserve">核心 </t>
    </r>
    <r>
      <rPr>
        <b val="true"/>
        <sz val="10"/>
        <rFont val="Arial"/>
        <family val="0"/>
        <charset val="1"/>
      </rPr>
      <t xml:space="preserve">(</t>
    </r>
    <r>
      <rPr>
        <b val="true"/>
        <sz val="10"/>
        <rFont val="WenQuanYi Zen Hei"/>
        <family val="2"/>
      </rPr>
      <t xml:space="preserve">扩大用途</t>
    </r>
    <r>
      <rPr>
        <b val="true"/>
        <sz val="10"/>
        <rFont val="Arial"/>
        <family val="0"/>
        <charset val="1"/>
      </rPr>
      <t xml:space="preserve">)</t>
    </r>
  </si>
  <si>
    <t xml:space="preserve">Intro + Theme 2 + Theme 3 + Conclusion</t>
  </si>
  <si>
    <r>
      <rPr>
        <sz val="10"/>
        <rFont val="Arial"/>
        <family val="0"/>
        <charset val="1"/>
      </rPr>
      <t xml:space="preserve">Intro</t>
    </r>
    <r>
      <rPr>
        <sz val="10"/>
        <rFont val="WenQuanYi Zen Hei"/>
        <family val="2"/>
      </rPr>
      <t xml:space="preserve">：</t>
    </r>
    <r>
      <rPr>
        <sz val="10"/>
        <rFont val="Arial"/>
        <family val="0"/>
        <charset val="1"/>
      </rPr>
      <t xml:space="preserve">newcomer </t>
    </r>
    <r>
      <rPr>
        <sz val="10"/>
        <rFont val="WenQuanYi Zen Hei"/>
        <family val="2"/>
      </rPr>
      <t xml:space="preserve">定义 </t>
    </r>
    <r>
      <rPr>
        <sz val="10"/>
        <rFont val="Arial"/>
        <family val="0"/>
        <charset val="1"/>
      </rPr>
      <t xml:space="preserve">(p. 186)</t>
    </r>
    <r>
      <rPr>
        <sz val="10"/>
        <rFont val="WenQuanYi Zen Hei"/>
        <family val="2"/>
      </rPr>
      <t xml:space="preserve">。</t>
    </r>
    <r>
      <rPr>
        <sz val="10"/>
        <rFont val="Arial"/>
        <family val="0"/>
        <charset val="1"/>
      </rPr>
      <t xml:space="preserve">Theme 2</t>
    </r>
    <r>
      <rPr>
        <sz val="10"/>
        <rFont val="WenQuanYi Zen Hei"/>
        <family val="2"/>
      </rPr>
      <t xml:space="preserve">：社区联络人、口译员 </t>
    </r>
    <r>
      <rPr>
        <sz val="10"/>
        <rFont val="Arial"/>
        <family val="0"/>
        <charset val="1"/>
      </rPr>
      <t xml:space="preserve">(pp. 191, 193)</t>
    </r>
    <r>
      <rPr>
        <sz val="10"/>
        <rFont val="WenQuanYi Zen Hei"/>
        <family val="2"/>
      </rPr>
      <t xml:space="preserve">。</t>
    </r>
    <r>
      <rPr>
        <sz val="10"/>
        <rFont val="Arial"/>
        <family val="0"/>
        <charset val="1"/>
      </rPr>
      <t xml:space="preserve">Theme 3</t>
    </r>
    <r>
      <rPr>
        <sz val="10"/>
        <rFont val="WenQuanYi Zen Hei"/>
        <family val="2"/>
      </rPr>
      <t xml:space="preserve">：</t>
    </r>
    <r>
      <rPr>
        <sz val="10"/>
        <rFont val="Arial"/>
        <family val="0"/>
        <charset val="1"/>
      </rPr>
      <t xml:space="preserve">68% </t>
    </r>
    <r>
      <rPr>
        <sz val="10"/>
        <rFont val="WenQuanYi Zen Hei"/>
        <family val="2"/>
      </rPr>
      <t xml:space="preserve">的研究提到提高服务回应性 </t>
    </r>
    <r>
      <rPr>
        <sz val="10"/>
        <rFont val="Arial"/>
        <family val="0"/>
        <charset val="1"/>
      </rPr>
      <t xml:space="preserve">(p. 193)</t>
    </r>
    <r>
      <rPr>
        <sz val="10"/>
        <rFont val="WenQuanYi Zen Hei"/>
        <family val="2"/>
      </rPr>
      <t xml:space="preserve">。</t>
    </r>
    <r>
      <rPr>
        <sz val="10"/>
        <rFont val="Arial"/>
        <family val="0"/>
        <charset val="1"/>
      </rPr>
      <t xml:space="preserve">Conclusion</t>
    </r>
    <r>
      <rPr>
        <sz val="10"/>
        <rFont val="WenQuanYi Zen Hei"/>
        <family val="2"/>
      </rPr>
      <t xml:space="preserve">：缺口 </t>
    </r>
    <r>
      <rPr>
        <sz val="10"/>
        <rFont val="Arial"/>
        <family val="0"/>
        <charset val="1"/>
      </rPr>
      <t xml:space="preserve">(p. 202)</t>
    </r>
    <r>
      <rPr>
        <sz val="10"/>
        <rFont val="WenQuanYi Zen Hei"/>
        <family val="2"/>
      </rPr>
      <t xml:space="preserve">。⚠ 综述，不计入“原始研究 ≥ </t>
    </r>
    <r>
      <rPr>
        <sz val="10"/>
        <rFont val="Arial"/>
        <family val="0"/>
        <charset val="1"/>
      </rPr>
      <t xml:space="preserve">8 </t>
    </r>
    <r>
      <rPr>
        <sz val="10"/>
        <rFont val="WenQuanYi Zen Hei"/>
        <family val="2"/>
      </rPr>
      <t xml:space="preserve">篇”。</t>
    </r>
  </si>
  <si>
    <t xml:space="preserve">不需要国家名</t>
  </si>
  <si>
    <r>
      <rPr>
        <sz val="10"/>
        <rFont val="Arial"/>
        <family val="0"/>
        <charset val="1"/>
      </rPr>
      <t xml:space="preserve">PDF </t>
    </r>
    <r>
      <rPr>
        <sz val="10"/>
        <rFont val="WenQuanYi Zen Hei"/>
        <family val="2"/>
      </rPr>
      <t xml:space="preserve">已读 </t>
    </r>
    <r>
      <rPr>
        <sz val="10"/>
        <rFont val="Arial"/>
        <family val="0"/>
        <charset val="1"/>
      </rPr>
      <t xml:space="preserve">(</t>
    </r>
    <r>
      <rPr>
        <sz val="10"/>
        <rFont val="WenQuanYi Zen Hei"/>
        <family val="2"/>
      </rPr>
      <t xml:space="preserve">印刷页 </t>
    </r>
    <r>
      <rPr>
        <sz val="10"/>
        <rFont val="Arial"/>
        <family val="0"/>
        <charset val="1"/>
      </rPr>
      <t xml:space="preserve">= PDF </t>
    </r>
    <r>
      <rPr>
        <sz val="10"/>
        <rFont val="WenQuanYi Zen Hei"/>
        <family val="2"/>
      </rPr>
      <t xml:space="preserve">页 </t>
    </r>
    <r>
      <rPr>
        <sz val="10"/>
        <rFont val="Arial"/>
        <family val="0"/>
        <charset val="1"/>
      </rPr>
      <t xml:space="preserve">+ 184)</t>
    </r>
  </si>
  <si>
    <t xml:space="preserve">综述</t>
  </si>
  <si>
    <t xml:space="preserve">S12</t>
  </si>
  <si>
    <t xml:space="preserve">Papakosma (2026)</t>
  </si>
  <si>
    <r>
      <rPr>
        <sz val="10"/>
        <rFont val="WenQuanYi Zen Hei"/>
        <family val="2"/>
      </rPr>
      <t xml:space="preserve">原始研究 </t>
    </r>
    <r>
      <rPr>
        <sz val="10"/>
        <rFont val="Arial"/>
        <family val="0"/>
        <charset val="1"/>
      </rPr>
      <t xml:space="preserve">· </t>
    </r>
    <r>
      <rPr>
        <sz val="10"/>
        <rFont val="WenQuanYi Zen Hei"/>
        <family val="2"/>
      </rPr>
      <t xml:space="preserve">访谈</t>
    </r>
  </si>
  <si>
    <t xml:space="preserve">瑞典</t>
  </si>
  <si>
    <r>
      <rPr>
        <sz val="10"/>
        <rFont val="Arial"/>
        <family val="0"/>
        <charset val="1"/>
      </rPr>
      <t xml:space="preserve">21 </t>
    </r>
    <r>
      <rPr>
        <sz val="10"/>
        <rFont val="WenQuanYi Zen Hei"/>
        <family val="2"/>
      </rPr>
      <t xml:space="preserve">名幼儿园园长和副园长</t>
    </r>
  </si>
  <si>
    <r>
      <rPr>
        <sz val="10"/>
        <rFont val="Arial"/>
        <family val="0"/>
        <charset val="1"/>
      </rPr>
      <t xml:space="preserve">Theme 1 (</t>
    </r>
    <r>
      <rPr>
        <sz val="10"/>
        <rFont val="WenQuanYi Zen Hei"/>
        <family val="2"/>
      </rPr>
      <t xml:space="preserve">旧：机构排斥</t>
    </r>
    <r>
      <rPr>
        <sz val="10"/>
        <rFont val="Arial"/>
        <family val="0"/>
        <charset val="1"/>
      </rPr>
      <t xml:space="preserve">); Theme 2 (</t>
    </r>
    <r>
      <rPr>
        <sz val="10"/>
        <rFont val="WenQuanYi Zen Hei"/>
        <family val="2"/>
      </rPr>
      <t xml:space="preserve">教授输入的句子</t>
    </r>
    <r>
      <rPr>
        <sz val="10"/>
        <rFont val="Arial"/>
        <family val="0"/>
        <charset val="1"/>
      </rPr>
      <t xml:space="preserve">); Theme 3 (</t>
    </r>
    <r>
      <rPr>
        <sz val="10"/>
        <rFont val="WenQuanYi Zen Hei"/>
        <family val="2"/>
      </rPr>
      <t xml:space="preserve">旧</t>
    </r>
    <r>
      <rPr>
        <sz val="10"/>
        <rFont val="Arial"/>
        <family val="0"/>
        <charset val="1"/>
      </rPr>
      <t xml:space="preserve">)</t>
    </r>
  </si>
  <si>
    <r>
      <rPr>
        <sz val="10"/>
        <rFont val="Arial"/>
        <family val="0"/>
        <charset val="1"/>
      </rPr>
      <t xml:space="preserve">p. 9: </t>
    </r>
    <r>
      <rPr>
        <sz val="10"/>
        <rFont val="WenQuanYi Zen Hei"/>
        <family val="2"/>
      </rPr>
      <t xml:space="preserve">缺少部分语言的口译员，限制复杂信息的沟通。</t>
    </r>
    <r>
      <rPr>
        <sz val="10"/>
        <rFont val="Arial"/>
        <family val="0"/>
        <charset val="1"/>
      </rPr>
      <t xml:space="preserve">p. 7: </t>
    </r>
    <r>
      <rPr>
        <sz val="10"/>
        <rFont val="WenQuanYi Zen Hei"/>
        <family val="2"/>
      </rPr>
      <t xml:space="preserve">主要障碍在 </t>
    </r>
    <r>
      <rPr>
        <sz val="10"/>
        <rFont val="Arial"/>
        <family val="0"/>
        <charset val="1"/>
      </rPr>
      <t xml:space="preserve">ECEC </t>
    </r>
    <r>
      <rPr>
        <sz val="10"/>
        <rFont val="WenQuanYi Zen Hei"/>
        <family val="2"/>
      </rPr>
      <t xml:space="preserve">范围之外 </t>
    </r>
    <r>
      <rPr>
        <sz val="10"/>
        <rFont val="Arial"/>
        <family val="0"/>
        <charset val="1"/>
      </rPr>
      <t xml:space="preserve">(</t>
    </r>
    <r>
      <rPr>
        <sz val="10"/>
        <rFont val="WenQuanYi Zen Hei"/>
        <family val="2"/>
      </rPr>
      <t xml:space="preserve">住房、就业、法律身份</t>
    </r>
    <r>
      <rPr>
        <sz val="10"/>
        <rFont val="Arial"/>
        <family val="0"/>
        <charset val="1"/>
      </rPr>
      <t xml:space="preserve">)</t>
    </r>
    <r>
      <rPr>
        <sz val="10"/>
        <rFont val="WenQuanYi Zen Hei"/>
        <family val="2"/>
      </rPr>
      <t xml:space="preserve">。</t>
    </r>
    <r>
      <rPr>
        <sz val="10"/>
        <rFont val="Arial"/>
        <family val="0"/>
        <charset val="1"/>
      </rPr>
      <t xml:space="preserve">pp. 9–10: </t>
    </r>
    <r>
      <rPr>
        <sz val="10"/>
        <rFont val="WenQuanYi Zen Hei"/>
        <family val="2"/>
      </rPr>
      <t xml:space="preserve">居住隔离。</t>
    </r>
  </si>
  <si>
    <r>
      <rPr>
        <sz val="10"/>
        <rFont val="WenQuanYi Zen Hei"/>
        <family val="2"/>
      </rPr>
      <t xml:space="preserve">中 </t>
    </r>
    <r>
      <rPr>
        <sz val="10"/>
        <rFont val="Arial"/>
        <family val="0"/>
        <charset val="1"/>
      </rPr>
      <t xml:space="preserve">(</t>
    </r>
    <r>
      <rPr>
        <sz val="10"/>
        <rFont val="WenQuanYi Zen Hei"/>
        <family val="2"/>
      </rPr>
      <t xml:space="preserve">只有口译那一点</t>
    </r>
    <r>
      <rPr>
        <sz val="10"/>
        <rFont val="Arial"/>
        <family val="0"/>
        <charset val="1"/>
      </rPr>
      <t xml:space="preserve">)</t>
    </r>
  </si>
  <si>
    <t xml:space="preserve">F15, F16</t>
  </si>
  <si>
    <r>
      <rPr>
        <sz val="10"/>
        <rFont val="WenQuanYi Zen Hei"/>
        <family val="2"/>
      </rPr>
      <t xml:space="preserve">只保留 </t>
    </r>
    <r>
      <rPr>
        <sz val="10"/>
        <rFont val="Arial"/>
        <family val="0"/>
        <charset val="1"/>
      </rPr>
      <t xml:space="preserve">p. 9</t>
    </r>
    <r>
      <rPr>
        <sz val="10"/>
        <rFont val="WenQuanYi Zen Hei"/>
        <family val="2"/>
      </rPr>
      <t xml:space="preserve">：缺少口译员限制复杂信息的沟通，作为“缺少中介支持”的对照。删除机构排斥段 </t>
    </r>
    <r>
      <rPr>
        <sz val="10"/>
        <rFont val="Arial"/>
        <family val="0"/>
        <charset val="1"/>
      </rPr>
      <t xml:space="preserve">(F15) </t>
    </r>
    <r>
      <rPr>
        <sz val="10"/>
        <rFont val="WenQuanYi Zen Hei"/>
        <family val="2"/>
      </rPr>
      <t xml:space="preserve">和 </t>
    </r>
    <r>
      <rPr>
        <sz val="10"/>
        <rFont val="Arial"/>
        <family val="0"/>
        <charset val="1"/>
      </rPr>
      <t xml:space="preserve">p. 7 </t>
    </r>
    <r>
      <rPr>
        <sz val="10"/>
        <rFont val="WenQuanYi Zen Hei"/>
        <family val="2"/>
      </rPr>
      <t xml:space="preserve">住房、就业句 </t>
    </r>
    <r>
      <rPr>
        <sz val="10"/>
        <rFont val="Arial"/>
        <family val="0"/>
        <charset val="1"/>
      </rPr>
      <t xml:space="preserve">(</t>
    </r>
    <r>
      <rPr>
        <sz val="10"/>
        <rFont val="WenQuanYi Zen Hei"/>
        <family val="2"/>
      </rPr>
      <t xml:space="preserve">不服务论点，又占篇幅</t>
    </r>
    <r>
      <rPr>
        <sz val="10"/>
        <rFont val="Arial"/>
        <family val="0"/>
        <charset val="1"/>
      </rPr>
      <t xml:space="preserve">)</t>
    </r>
    <r>
      <rPr>
        <sz val="10"/>
        <rFont val="WenQuanYi Zen Hei"/>
        <family val="2"/>
      </rPr>
      <t xml:space="preserve">。</t>
    </r>
  </si>
  <si>
    <r>
      <rPr>
        <sz val="10"/>
        <rFont val="WenQuanYi Zen Hei"/>
        <family val="2"/>
      </rPr>
      <t xml:space="preserve">删去 </t>
    </r>
    <r>
      <rPr>
        <sz val="10"/>
        <rFont val="Arial"/>
        <family val="0"/>
        <charset val="1"/>
      </rPr>
      <t xml:space="preserve">"Swedish"</t>
    </r>
  </si>
  <si>
    <t xml:space="preserve">S13</t>
  </si>
  <si>
    <t xml:space="preserve">Schwartz et al. (2026)</t>
  </si>
  <si>
    <t xml:space="preserve">以色列</t>
  </si>
  <si>
    <r>
      <rPr>
        <sz val="10"/>
        <rFont val="Arial"/>
        <family val="0"/>
        <charset val="1"/>
      </rPr>
      <t xml:space="preserve">Bnei Menashe </t>
    </r>
    <r>
      <rPr>
        <sz val="10"/>
        <rFont val="WenQuanYi Zen Hei"/>
        <family val="2"/>
      </rPr>
      <t xml:space="preserve">移民家长、教师、跨文化调解员</t>
    </r>
  </si>
  <si>
    <r>
      <rPr>
        <sz val="10"/>
        <rFont val="Arial"/>
        <family val="0"/>
        <charset val="1"/>
      </rPr>
      <t xml:space="preserve">Theme 3 (</t>
    </r>
    <r>
      <rPr>
        <sz val="10"/>
        <rFont val="WenQuanYi Zen Hei"/>
        <family val="2"/>
      </rPr>
      <t xml:space="preserve">旧</t>
    </r>
    <r>
      <rPr>
        <sz val="10"/>
        <rFont val="Arial"/>
        <family val="0"/>
        <charset val="1"/>
      </rPr>
      <t xml:space="preserve">, 5 </t>
    </r>
    <r>
      <rPr>
        <sz val="10"/>
        <rFont val="WenQuanYi Zen Hei"/>
        <family val="2"/>
      </rPr>
      <t xml:space="preserve">处</t>
    </r>
    <r>
      <rPr>
        <sz val="10"/>
        <rFont val="Arial"/>
        <family val="0"/>
        <charset val="1"/>
      </rPr>
      <t xml:space="preserve">); Conclusion</t>
    </r>
  </si>
  <si>
    <r>
      <rPr>
        <sz val="10"/>
        <rFont val="Arial"/>
        <family val="0"/>
        <charset val="1"/>
      </rPr>
      <t xml:space="preserve">pp. 8–9: </t>
    </r>
    <r>
      <rPr>
        <sz val="10"/>
        <rFont val="WenQuanYi Zen Hei"/>
        <family val="2"/>
      </rPr>
      <t xml:space="preserve">家长重视安全、舒适、快乐和学希伯来语。</t>
    </r>
    <r>
      <rPr>
        <sz val="10"/>
        <rFont val="Arial"/>
        <family val="0"/>
        <charset val="1"/>
      </rPr>
      <t xml:space="preserve">p. 10: </t>
    </r>
    <r>
      <rPr>
        <sz val="10"/>
        <rFont val="WenQuanYi Zen Hei"/>
        <family val="2"/>
      </rPr>
      <t xml:space="preserve">社区出身的助教把老师的 </t>
    </r>
    <r>
      <rPr>
        <sz val="10"/>
        <rFont val="Arial"/>
        <family val="0"/>
        <charset val="1"/>
      </rPr>
      <t xml:space="preserve">WhatsApp </t>
    </r>
    <r>
      <rPr>
        <sz val="10"/>
        <rFont val="WenQuanYi Zen Hei"/>
        <family val="2"/>
      </rPr>
      <t xml:space="preserve">信息翻成 </t>
    </r>
    <r>
      <rPr>
        <sz val="10"/>
        <rFont val="Arial"/>
        <family val="0"/>
        <charset val="1"/>
      </rPr>
      <t xml:space="preserve">Mizu</t>
    </r>
    <r>
      <rPr>
        <sz val="10"/>
        <rFont val="WenQuanYi Zen Hei"/>
        <family val="2"/>
      </rPr>
      <t xml:space="preserve">，员工称这一步 </t>
    </r>
    <r>
      <rPr>
        <sz val="10"/>
        <rFont val="Arial"/>
        <family val="0"/>
        <charset val="1"/>
      </rPr>
      <t xml:space="preserve">"revolutionary"</t>
    </r>
    <r>
      <rPr>
        <sz val="10"/>
        <rFont val="WenQuanYi Zen Hei"/>
        <family val="2"/>
      </rPr>
      <t xml:space="preserve">；家长更有信心联系老师。</t>
    </r>
    <r>
      <rPr>
        <sz val="10"/>
        <rFont val="Arial"/>
        <family val="0"/>
        <charset val="1"/>
      </rPr>
      <t xml:space="preserve">p. 11: </t>
    </r>
    <r>
      <rPr>
        <sz val="10"/>
        <rFont val="WenQuanYi Zen Hei"/>
        <family val="2"/>
      </rPr>
      <t xml:space="preserve">归属感。</t>
    </r>
    <r>
      <rPr>
        <sz val="10"/>
        <rFont val="Arial"/>
        <family val="0"/>
        <charset val="1"/>
      </rPr>
      <t xml:space="preserve">p. 13: </t>
    </r>
    <r>
      <rPr>
        <sz val="10"/>
        <rFont val="WenQuanYi Zen Hei"/>
        <family val="2"/>
      </rPr>
      <t xml:space="preserve">推动家长参与的行动来自社区领袖，不是幼儿园员工。</t>
    </r>
  </si>
  <si>
    <t xml:space="preserve">F16, F22, F23</t>
  </si>
  <si>
    <r>
      <rPr>
        <sz val="10"/>
        <rFont val="Arial"/>
        <family val="0"/>
        <charset val="1"/>
      </rPr>
      <t xml:space="preserve">Theme 2</t>
    </r>
    <r>
      <rPr>
        <sz val="10"/>
        <rFont val="WenQuanYi Zen Hei"/>
        <family val="2"/>
      </rPr>
      <t xml:space="preserve">：社区出身的助教翻译信息，家长更有信心联系老师 </t>
    </r>
    <r>
      <rPr>
        <sz val="10"/>
        <rFont val="Arial"/>
        <family val="0"/>
        <charset val="1"/>
      </rPr>
      <t xml:space="preserve">(p. 10)</t>
    </r>
    <r>
      <rPr>
        <sz val="10"/>
        <rFont val="WenQuanYi Zen Hei"/>
        <family val="2"/>
      </rPr>
      <t xml:space="preserve">，这是“中介支持帮助使用”的直接证据。</t>
    </r>
    <r>
      <rPr>
        <sz val="10"/>
        <rFont val="Arial"/>
        <family val="0"/>
        <charset val="1"/>
      </rPr>
      <t xml:space="preserve">Theme 3</t>
    </r>
    <r>
      <rPr>
        <sz val="10"/>
        <rFont val="WenQuanYi Zen Hei"/>
        <family val="2"/>
      </rPr>
      <t xml:space="preserve">：家长重视安全、语言和文化 </t>
    </r>
    <r>
      <rPr>
        <sz val="10"/>
        <rFont val="Arial"/>
        <family val="0"/>
        <charset val="1"/>
      </rPr>
      <t xml:space="preserve">(pp. 8–9)</t>
    </r>
    <r>
      <rPr>
        <sz val="10"/>
        <rFont val="WenQuanYi Zen Hei"/>
        <family val="2"/>
      </rPr>
      <t xml:space="preserve">。⚠ 现稿写 </t>
    </r>
    <r>
      <rPr>
        <sz val="10"/>
        <rFont val="Arial"/>
        <family val="0"/>
        <charset val="1"/>
      </rPr>
      <t xml:space="preserve">"p. 12"</t>
    </r>
    <r>
      <rPr>
        <sz val="10"/>
        <rFont val="WenQuanYi Zen Hei"/>
        <family val="2"/>
      </rPr>
      <t xml:space="preserve">，核对后应为 </t>
    </r>
    <r>
      <rPr>
        <sz val="10"/>
        <rFont val="Arial"/>
        <family val="0"/>
        <charset val="1"/>
      </rPr>
      <t xml:space="preserve">p. 13</t>
    </r>
    <r>
      <rPr>
        <sz val="10"/>
        <rFont val="WenQuanYi Zen Hei"/>
        <family val="2"/>
      </rPr>
      <t xml:space="preserve">。</t>
    </r>
  </si>
  <si>
    <r>
      <rPr>
        <sz val="10"/>
        <rFont val="WenQuanYi Zen Hei"/>
        <family val="2"/>
      </rPr>
      <t xml:space="preserve">删去 </t>
    </r>
    <r>
      <rPr>
        <sz val="10"/>
        <rFont val="Arial"/>
        <family val="0"/>
        <charset val="1"/>
      </rPr>
      <t xml:space="preserve">"Israeli"</t>
    </r>
    <r>
      <rPr>
        <sz val="10"/>
        <rFont val="WenQuanYi Zen Hei"/>
        <family val="2"/>
      </rPr>
      <t xml:space="preserve">、</t>
    </r>
    <r>
      <rPr>
        <sz val="10"/>
        <rFont val="Arial"/>
        <family val="0"/>
        <charset val="1"/>
      </rPr>
      <t xml:space="preserve">Bnei Menashe</t>
    </r>
    <r>
      <rPr>
        <sz val="10"/>
        <rFont val="WenQuanYi Zen Hei"/>
        <family val="2"/>
      </rPr>
      <t xml:space="preserve">、</t>
    </r>
    <r>
      <rPr>
        <sz val="10"/>
        <rFont val="Arial"/>
        <family val="0"/>
        <charset val="1"/>
      </rPr>
      <t xml:space="preserve">Mizu </t>
    </r>
    <r>
      <rPr>
        <sz val="10"/>
        <rFont val="WenQuanYi Zen Hei"/>
        <family val="2"/>
      </rPr>
      <t xml:space="preserve">等细节</t>
    </r>
  </si>
  <si>
    <t xml:space="preserve">P1</t>
  </si>
  <si>
    <t xml:space="preserve">Government of Canada &amp; Government of Ontario (2022)</t>
  </si>
  <si>
    <r>
      <rPr>
        <sz val="10"/>
        <rFont val="WenQuanYi Zen Hei"/>
        <family val="2"/>
      </rPr>
      <t xml:space="preserve">政策 </t>
    </r>
    <r>
      <rPr>
        <sz val="10"/>
        <rFont val="Arial"/>
        <family val="0"/>
        <charset val="1"/>
      </rPr>
      <t xml:space="preserve">· </t>
    </r>
    <r>
      <rPr>
        <sz val="10"/>
        <rFont val="WenQuanYi Zen Hei"/>
        <family val="2"/>
      </rPr>
      <t xml:space="preserve">双边协议</t>
    </r>
  </si>
  <si>
    <t xml:space="preserve">加拿大–安省</t>
  </si>
  <si>
    <r>
      <rPr>
        <sz val="10"/>
        <rFont val="Arial"/>
        <family val="0"/>
        <charset val="1"/>
      </rPr>
      <t xml:space="preserve">CWELCC </t>
    </r>
    <r>
      <rPr>
        <sz val="10"/>
        <rFont val="WenQuanYi Zen Hei"/>
        <family val="2"/>
      </rPr>
      <t xml:space="preserve">协议目标：可负担、包容。页码未核 </t>
    </r>
    <r>
      <rPr>
        <sz val="10"/>
        <rFont val="Arial"/>
        <family val="0"/>
        <charset val="1"/>
      </rPr>
      <t xml:space="preserve">(</t>
    </r>
    <r>
      <rPr>
        <sz val="10"/>
        <rFont val="WenQuanYi Zen Hei"/>
        <family val="2"/>
      </rPr>
      <t xml:space="preserve">早前 </t>
    </r>
    <r>
      <rPr>
        <sz val="10"/>
        <rFont val="Arial"/>
        <family val="0"/>
        <charset val="1"/>
      </rPr>
      <t xml:space="preserve">p. 7 </t>
    </r>
    <r>
      <rPr>
        <sz val="10"/>
        <rFont val="WenQuanYi Zen Hei"/>
        <family val="2"/>
      </rPr>
      <t xml:space="preserve">已删</t>
    </r>
    <r>
      <rPr>
        <sz val="10"/>
        <rFont val="Arial"/>
        <family val="0"/>
        <charset val="1"/>
      </rPr>
      <t xml:space="preserve">)</t>
    </r>
    <r>
      <rPr>
        <sz val="10"/>
        <rFont val="WenQuanYi Zen Hei"/>
        <family val="2"/>
      </rPr>
      <t xml:space="preserve">。</t>
    </r>
  </si>
  <si>
    <r>
      <rPr>
        <sz val="10"/>
        <rFont val="WenQuanYi Zen Hei"/>
        <family val="2"/>
      </rPr>
      <t xml:space="preserve">高 </t>
    </r>
    <r>
      <rPr>
        <sz val="10"/>
        <rFont val="Arial"/>
        <family val="0"/>
        <charset val="1"/>
      </rPr>
      <t xml:space="preserve">(</t>
    </r>
    <r>
      <rPr>
        <sz val="10"/>
        <rFont val="WenQuanYi Zen Hei"/>
        <family val="2"/>
      </rPr>
      <t xml:space="preserve">背景</t>
    </r>
    <r>
      <rPr>
        <sz val="10"/>
        <rFont val="Arial"/>
        <family val="0"/>
        <charset val="1"/>
      </rPr>
      <t xml:space="preserve">)</t>
    </r>
  </si>
  <si>
    <t xml:space="preserve">F04, F24</t>
  </si>
  <si>
    <t xml:space="preserve">保留</t>
  </si>
  <si>
    <r>
      <rPr>
        <sz val="10"/>
        <rFont val="WenQuanYi Zen Hei"/>
        <family val="2"/>
      </rPr>
      <t xml:space="preserve">引言第一句的政策背景。不写页码，或核对 </t>
    </r>
    <r>
      <rPr>
        <sz val="10"/>
        <rFont val="Arial"/>
        <family val="0"/>
        <charset val="1"/>
      </rPr>
      <t xml:space="preserve">PDF </t>
    </r>
    <r>
      <rPr>
        <sz val="10"/>
        <rFont val="WenQuanYi Zen Hei"/>
        <family val="2"/>
      </rPr>
      <t xml:space="preserve">后再写。</t>
    </r>
  </si>
  <si>
    <t xml:space="preserve">页码未核</t>
  </si>
  <si>
    <t xml:space="preserve">政策</t>
  </si>
  <si>
    <t xml:space="preserve">P2</t>
  </si>
  <si>
    <t xml:space="preserve">Ontario Ministry of Education (2023)</t>
  </si>
  <si>
    <r>
      <rPr>
        <sz val="10"/>
        <rFont val="WenQuanYi Zen Hei"/>
        <family val="2"/>
      </rPr>
      <t xml:space="preserve">政策 </t>
    </r>
    <r>
      <rPr>
        <sz val="10"/>
        <rFont val="Arial"/>
        <family val="0"/>
        <charset val="1"/>
      </rPr>
      <t xml:space="preserve">· Access and Inclusion Framework</t>
    </r>
  </si>
  <si>
    <t xml:space="preserve">安省</t>
  </si>
  <si>
    <r>
      <rPr>
        <sz val="10"/>
        <rFont val="Arial"/>
        <family val="0"/>
        <charset val="1"/>
      </rPr>
      <t xml:space="preserve">p. 17: </t>
    </r>
    <r>
      <rPr>
        <sz val="10"/>
        <rFont val="WenQuanYi Zen Hei"/>
        <family val="2"/>
      </rPr>
      <t xml:space="preserve">新移民家庭是提升可及性的优先人群 </t>
    </r>
    <r>
      <rPr>
        <sz val="10"/>
        <rFont val="Arial"/>
        <family val="0"/>
        <charset val="1"/>
      </rPr>
      <t xml:space="preserve">(</t>
    </r>
    <r>
      <rPr>
        <sz val="10"/>
        <rFont val="WenQuanYi Zen Hei"/>
        <family val="2"/>
      </rPr>
      <t xml:space="preserve">页码列在待核清单</t>
    </r>
    <r>
      <rPr>
        <sz val="10"/>
        <rFont val="Arial"/>
        <family val="0"/>
        <charset val="1"/>
      </rPr>
      <t xml:space="preserve">)</t>
    </r>
    <r>
      <rPr>
        <sz val="10"/>
        <rFont val="WenQuanYi Zen Hei"/>
        <family val="2"/>
      </rPr>
      <t xml:space="preserve">。检索片段：</t>
    </r>
    <r>
      <rPr>
        <sz val="10"/>
        <rFont val="Arial"/>
        <family val="0"/>
        <charset val="1"/>
      </rPr>
      <t xml:space="preserve">"enhanced service accessibility for children and families, particularly isolated, newcomer, and low-income families"</t>
    </r>
    <r>
      <rPr>
        <sz val="10"/>
        <rFont val="WenQuanYi Zen Hei"/>
        <family val="2"/>
      </rPr>
      <t xml:space="preserve">；另一句 </t>
    </r>
    <r>
      <rPr>
        <sz val="10"/>
        <rFont val="Arial"/>
        <family val="0"/>
        <charset val="1"/>
      </rPr>
      <t xml:space="preserve">"How will the needs of vulnerable groups, including newcomers... be identified and addressed?" </t>
    </r>
    <r>
      <rPr>
        <sz val="10"/>
        <rFont val="WenQuanYi Zen Hei"/>
        <family val="2"/>
      </rPr>
      <t xml:space="preserve">可能出自 </t>
    </r>
    <r>
      <rPr>
        <sz val="10"/>
        <rFont val="Arial"/>
        <family val="0"/>
        <charset val="1"/>
      </rPr>
      <t xml:space="preserve">2022 </t>
    </r>
    <r>
      <rPr>
        <sz val="10"/>
        <rFont val="WenQuanYi Zen Hei"/>
        <family val="2"/>
      </rPr>
      <t xml:space="preserve">版。没有找到 </t>
    </r>
    <r>
      <rPr>
        <sz val="10"/>
        <rFont val="Arial"/>
        <family val="0"/>
        <charset val="1"/>
      </rPr>
      <t xml:space="preserve">"culturally responsive" </t>
    </r>
    <r>
      <rPr>
        <sz val="10"/>
        <rFont val="WenQuanYi Zen Hei"/>
        <family val="2"/>
      </rPr>
      <t xml:space="preserve">的字样。</t>
    </r>
  </si>
  <si>
    <r>
      <rPr>
        <sz val="10"/>
        <rFont val="WenQuanYi Zen Hei"/>
        <family val="2"/>
      </rPr>
      <t xml:space="preserve">高 </t>
    </r>
    <r>
      <rPr>
        <sz val="10"/>
        <rFont val="Arial"/>
        <family val="0"/>
        <charset val="1"/>
      </rPr>
      <t xml:space="preserve">(</t>
    </r>
    <r>
      <rPr>
        <sz val="10"/>
        <rFont val="WenQuanYi Zen Hei"/>
        <family val="2"/>
      </rPr>
      <t xml:space="preserve">引言</t>
    </r>
    <r>
      <rPr>
        <sz val="10"/>
        <rFont val="Arial"/>
        <family val="0"/>
        <charset val="1"/>
      </rPr>
      <t xml:space="preserve">)</t>
    </r>
  </si>
  <si>
    <r>
      <rPr>
        <sz val="10"/>
        <rFont val="WenQuanYi Zen Hei"/>
        <family val="2"/>
      </rPr>
      <t xml:space="preserve">引言：安省把新移民家庭列为提升可及性的优先人群 </t>
    </r>
    <r>
      <rPr>
        <sz val="10"/>
        <rFont val="Arial"/>
        <family val="0"/>
        <charset val="1"/>
      </rPr>
      <t xml:space="preserve">(p. 17 </t>
    </r>
    <r>
      <rPr>
        <sz val="10"/>
        <rFont val="WenQuanYi Zen Hei"/>
        <family val="2"/>
      </rPr>
      <t xml:space="preserve">待核</t>
    </r>
    <r>
      <rPr>
        <sz val="10"/>
        <rFont val="Arial"/>
        <family val="0"/>
        <charset val="1"/>
      </rPr>
      <t xml:space="preserve">)</t>
    </r>
    <r>
      <rPr>
        <sz val="10"/>
        <rFont val="WenQuanYi Zen Hei"/>
        <family val="2"/>
      </rPr>
      <t xml:space="preserve">。它主要是服务规划框架，未见文化回应性的表述，不适合作 </t>
    </r>
    <r>
      <rPr>
        <sz val="10"/>
        <rFont val="Arial"/>
        <family val="0"/>
        <charset val="1"/>
      </rPr>
      <t xml:space="preserve">Theme 3 </t>
    </r>
    <r>
      <rPr>
        <sz val="10"/>
        <rFont val="WenQuanYi Zen Hei"/>
        <family val="2"/>
      </rPr>
      <t xml:space="preserve">依据；</t>
    </r>
    <r>
      <rPr>
        <sz val="10"/>
        <rFont val="Arial"/>
        <family val="0"/>
        <charset val="1"/>
      </rPr>
      <t xml:space="preserve">Theme 3 </t>
    </r>
    <r>
      <rPr>
        <sz val="10"/>
        <rFont val="WenQuanYi Zen Hei"/>
        <family val="2"/>
      </rPr>
      <t xml:space="preserve">改用 </t>
    </r>
    <r>
      <rPr>
        <sz val="10"/>
        <rFont val="Arial"/>
        <family val="0"/>
        <charset val="1"/>
      </rPr>
      <t xml:space="preserve">How Does Learning Happen? (2014) (</t>
    </r>
    <r>
      <rPr>
        <sz val="10"/>
        <rFont val="WenQuanYi Zen Hei"/>
        <family val="2"/>
      </rPr>
      <t xml:space="preserve">见“新增文献”</t>
    </r>
    <r>
      <rPr>
        <sz val="10"/>
        <rFont val="Arial"/>
        <family val="0"/>
        <charset val="1"/>
      </rPr>
      <t xml:space="preserve">N02)</t>
    </r>
    <r>
      <rPr>
        <sz val="10"/>
        <rFont val="WenQuanYi Zen Hei"/>
        <family val="2"/>
      </rPr>
      <t xml:space="preserve">。</t>
    </r>
  </si>
  <si>
    <t xml:space="preserve">页码待核</t>
  </si>
  <si>
    <t xml:space="preserve">P3</t>
  </si>
  <si>
    <t xml:space="preserve">Statistics Canada (2025)</t>
  </si>
  <si>
    <r>
      <rPr>
        <sz val="10"/>
        <rFont val="WenQuanYi Zen Hei"/>
        <family val="2"/>
      </rPr>
      <t xml:space="preserve">政策 </t>
    </r>
    <r>
      <rPr>
        <sz val="10"/>
        <rFont val="Arial"/>
        <family val="0"/>
        <charset val="1"/>
      </rPr>
      <t xml:space="preserve">· </t>
    </r>
    <r>
      <rPr>
        <sz val="10"/>
        <rFont val="WenQuanYi Zen Hei"/>
        <family val="2"/>
      </rPr>
      <t xml:space="preserve">统计 </t>
    </r>
    <r>
      <rPr>
        <sz val="10"/>
        <rFont val="Arial"/>
        <family val="0"/>
        <charset val="1"/>
      </rPr>
      <t xml:space="preserve">(The Daily)</t>
    </r>
  </si>
  <si>
    <r>
      <rPr>
        <sz val="10"/>
        <rFont val="WenQuanYi Zen Hei"/>
        <family val="2"/>
      </rPr>
      <t xml:space="preserve">检索片段 </t>
    </r>
    <r>
      <rPr>
        <sz val="10"/>
        <rFont val="Arial"/>
        <family val="0"/>
        <charset val="1"/>
      </rPr>
      <t xml:space="preserve">(</t>
    </r>
    <r>
      <rPr>
        <sz val="10"/>
        <rFont val="WenQuanYi Zen Hei"/>
        <family val="2"/>
      </rPr>
      <t xml:space="preserve">网页被拦截，未打开</t>
    </r>
    <r>
      <rPr>
        <sz val="10"/>
        <rFont val="Arial"/>
        <family val="0"/>
        <charset val="1"/>
      </rPr>
      <t xml:space="preserve">)</t>
    </r>
    <r>
      <rPr>
        <sz val="10"/>
        <rFont val="WenQuanYi Zen Hei"/>
        <family val="2"/>
      </rPr>
      <t xml:space="preserve">：</t>
    </r>
    <r>
      <rPr>
        <sz val="10"/>
        <rFont val="Arial"/>
        <family val="0"/>
        <charset val="1"/>
      </rPr>
      <t xml:space="preserve">"31% of parents of children aged 0 to 5 years reported that their child was on a waitlist in 2025, up from 26% in 2023"</t>
    </r>
    <r>
      <rPr>
        <sz val="10"/>
        <rFont val="WenQuanYi Zen Hei"/>
        <family val="2"/>
      </rPr>
      <t xml:space="preserve">，指的是没有使用托育的家长；使用托育的家长中 </t>
    </r>
    <r>
      <rPr>
        <sz val="10"/>
        <rFont val="Arial"/>
        <family val="0"/>
        <charset val="1"/>
      </rPr>
      <t xml:space="preserve">50% </t>
    </r>
    <r>
      <rPr>
        <sz val="10"/>
        <rFont val="WenQuanYi Zen Hei"/>
        <family val="2"/>
      </rPr>
      <t xml:space="preserve">难以找到托育。没有按移民身份分组的数据，也没有 </t>
    </r>
    <r>
      <rPr>
        <sz val="10"/>
        <rFont val="Arial"/>
        <family val="0"/>
        <charset val="1"/>
      </rPr>
      <t xml:space="preserve">$10/day </t>
    </r>
    <r>
      <rPr>
        <sz val="10"/>
        <rFont val="WenQuanYi Zen Hei"/>
        <family val="2"/>
      </rPr>
      <t xml:space="preserve">知晓度的数据。</t>
    </r>
  </si>
  <si>
    <r>
      <rPr>
        <sz val="10"/>
        <rFont val="WenQuanYi Zen Hei"/>
        <family val="2"/>
      </rPr>
      <t xml:space="preserve">低 </t>
    </r>
    <r>
      <rPr>
        <sz val="10"/>
        <rFont val="Arial"/>
        <family val="0"/>
        <charset val="1"/>
      </rPr>
      <t xml:space="preserve">(</t>
    </r>
    <r>
      <rPr>
        <sz val="10"/>
        <rFont val="WenQuanYi Zen Hei"/>
        <family val="2"/>
      </rPr>
      <t xml:space="preserve">讲供给，不讲理解</t>
    </r>
    <r>
      <rPr>
        <sz val="10"/>
        <rFont val="Arial"/>
        <family val="0"/>
        <charset val="1"/>
      </rPr>
      <t xml:space="preserve">)</t>
    </r>
  </si>
  <si>
    <t xml:space="preserve">替换或补引用</t>
  </si>
  <si>
    <r>
      <rPr>
        <sz val="10"/>
        <rFont val="Arial"/>
        <family val="0"/>
        <charset val="1"/>
      </rPr>
      <t xml:space="preserve">Introduction (</t>
    </r>
    <r>
      <rPr>
        <sz val="10"/>
        <rFont val="WenQuanYi Zen Hei"/>
        <family val="2"/>
      </rPr>
      <t xml:space="preserve">若用</t>
    </r>
    <r>
      <rPr>
        <sz val="10"/>
        <rFont val="Arial"/>
        <family val="0"/>
        <charset val="1"/>
      </rPr>
      <t xml:space="preserve">)</t>
    </r>
  </si>
  <si>
    <r>
      <rPr>
        <sz val="10"/>
        <rFont val="WenQuanYi Zen Hei"/>
        <family val="2"/>
      </rPr>
      <t xml:space="preserve">正文没有引用。建议换成 </t>
    </r>
    <r>
      <rPr>
        <sz val="10"/>
        <rFont val="Arial"/>
        <family val="0"/>
        <charset val="1"/>
      </rPr>
      <t xml:space="preserve">How Does Learning Happen? (2014) (“</t>
    </r>
    <r>
      <rPr>
        <sz val="10"/>
        <rFont val="WenQuanYi Zen Hei"/>
        <family val="2"/>
      </rPr>
      <t xml:space="preserve">新增文献”</t>
    </r>
    <r>
      <rPr>
        <sz val="10"/>
        <rFont val="Arial"/>
        <family val="0"/>
        <charset val="1"/>
      </rPr>
      <t xml:space="preserve">N02) </t>
    </r>
    <r>
      <rPr>
        <sz val="10"/>
        <rFont val="WenQuanYi Zen Hei"/>
        <family val="2"/>
      </rPr>
      <t xml:space="preserve">作为第 </t>
    </r>
    <r>
      <rPr>
        <sz val="10"/>
        <rFont val="Arial"/>
        <family val="0"/>
        <charset val="1"/>
      </rPr>
      <t xml:space="preserve">4 </t>
    </r>
    <r>
      <rPr>
        <sz val="10"/>
        <rFont val="WenQuanYi Zen Hei"/>
        <family val="2"/>
      </rPr>
      <t xml:space="preserve">份政策。若保留，引言用一句并按原文措辞：单位是 </t>
    </r>
    <r>
      <rPr>
        <sz val="10"/>
        <rFont val="Arial"/>
        <family val="0"/>
        <charset val="1"/>
      </rPr>
      <t xml:space="preserve">parents</t>
    </r>
    <r>
      <rPr>
        <sz val="10"/>
        <rFont val="WenQuanYi Zen Hei"/>
        <family val="2"/>
      </rPr>
      <t xml:space="preserve">，不是 </t>
    </r>
    <r>
      <rPr>
        <sz val="10"/>
        <rFont val="Arial"/>
        <family val="0"/>
        <charset val="1"/>
      </rPr>
      <t xml:space="preserve">children</t>
    </r>
    <r>
      <rPr>
        <sz val="10"/>
        <rFont val="WenQuanYi Zen Hei"/>
        <family val="2"/>
      </rPr>
      <t xml:space="preserve">；交稿前打开网页核对。</t>
    </r>
  </si>
  <si>
    <t xml:space="preserve">已列入但未引用</t>
  </si>
  <si>
    <t xml:space="preserve">数据未核</t>
  </si>
  <si>
    <t xml:space="preserve">待定</t>
  </si>
  <si>
    <t xml:space="preserve">P4</t>
  </si>
  <si>
    <r>
      <rPr>
        <sz val="10"/>
        <rFont val="WenQuanYi Zen Hei"/>
        <family val="2"/>
      </rPr>
      <t xml:space="preserve">政策 </t>
    </r>
    <r>
      <rPr>
        <sz val="10"/>
        <rFont val="Arial"/>
        <family val="0"/>
        <charset val="1"/>
      </rPr>
      <t xml:space="preserve">· </t>
    </r>
    <r>
      <rPr>
        <sz val="10"/>
        <rFont val="WenQuanYi Zen Hei"/>
        <family val="2"/>
      </rPr>
      <t xml:space="preserve">多伦多服务规划 </t>
    </r>
    <r>
      <rPr>
        <sz val="10"/>
        <rFont val="Arial"/>
        <family val="0"/>
        <charset val="1"/>
      </rPr>
      <t xml:space="preserve">2025–2030</t>
    </r>
  </si>
  <si>
    <t xml:space="preserve">Introduction; Conclusion</t>
  </si>
  <si>
    <r>
      <rPr>
        <sz val="10"/>
        <rFont val="Arial"/>
        <family val="0"/>
        <charset val="1"/>
      </rPr>
      <t xml:space="preserve">p. 27: </t>
    </r>
    <r>
      <rPr>
        <sz val="10"/>
        <rFont val="WenQuanYi Zen Hei"/>
        <family val="2"/>
      </rPr>
      <t xml:space="preserve">新移民儿童是多伦多增长最快的儿童群体。</t>
    </r>
    <r>
      <rPr>
        <sz val="10"/>
        <rFont val="Arial"/>
        <family val="0"/>
        <charset val="1"/>
      </rPr>
      <t xml:space="preserve">p. 47: </t>
    </r>
    <r>
      <rPr>
        <sz val="10"/>
        <rFont val="WenQuanYi Zen Hei"/>
        <family val="2"/>
      </rPr>
      <t xml:space="preserve">把家庭与基本支持连接起来。</t>
    </r>
    <r>
      <rPr>
        <sz val="10"/>
        <rFont val="Arial"/>
        <family val="0"/>
        <charset val="1"/>
      </rPr>
      <t xml:space="preserve">(</t>
    </r>
    <r>
      <rPr>
        <sz val="10"/>
        <rFont val="WenQuanYi Zen Hei"/>
        <family val="2"/>
      </rPr>
      <t xml:space="preserve">页码列在待核清单</t>
    </r>
    <r>
      <rPr>
        <sz val="10"/>
        <rFont val="Arial"/>
        <family val="0"/>
        <charset val="1"/>
      </rPr>
      <t xml:space="preserve">) </t>
    </r>
    <r>
      <rPr>
        <sz val="10"/>
        <rFont val="WenQuanYi Zen Hei"/>
        <family val="2"/>
      </rPr>
      <t xml:space="preserve">检索片段 </t>
    </r>
    <r>
      <rPr>
        <sz val="10"/>
        <rFont val="Arial"/>
        <family val="0"/>
        <charset val="1"/>
      </rPr>
      <t xml:space="preserve">(</t>
    </r>
    <r>
      <rPr>
        <sz val="10"/>
        <rFont val="WenQuanYi Zen Hei"/>
        <family val="2"/>
      </rPr>
      <t xml:space="preserve">未核</t>
    </r>
    <r>
      <rPr>
        <sz val="10"/>
        <rFont val="Arial"/>
        <family val="0"/>
        <charset val="1"/>
      </rPr>
      <t xml:space="preserve">)</t>
    </r>
    <r>
      <rPr>
        <sz val="10"/>
        <rFont val="WenQuanYi Zen Hei"/>
        <family val="2"/>
      </rPr>
      <t xml:space="preserve">：家庭 </t>
    </r>
    <r>
      <rPr>
        <sz val="10"/>
        <rFont val="Arial"/>
        <family val="0"/>
        <charset val="1"/>
      </rPr>
      <t xml:space="preserve">"difficulty in finding and understanding information on EarlyON offerings, licensed child care programs, and eligibility for child care fee subsidy"</t>
    </r>
    <r>
      <rPr>
        <sz val="10"/>
        <rFont val="WenQuanYi Zen Hei"/>
        <family val="2"/>
      </rPr>
      <t xml:space="preserve">；</t>
    </r>
    <r>
      <rPr>
        <sz val="10"/>
        <rFont val="Arial"/>
        <family val="0"/>
        <charset val="1"/>
      </rPr>
      <t xml:space="preserve">"Service navigation can be insurmountable for families whose first language is not English, who are new to Canada..."</t>
    </r>
    <r>
      <rPr>
        <sz val="10"/>
        <rFont val="WenQuanYi Zen Hei"/>
        <family val="2"/>
      </rPr>
      <t xml:space="preserve">；规划承诺 </t>
    </r>
    <r>
      <rPr>
        <sz val="10"/>
        <rFont val="Arial"/>
        <family val="0"/>
        <charset val="1"/>
      </rPr>
      <t xml:space="preserve">"culturally responsive service navigation supports" </t>
    </r>
    <r>
      <rPr>
        <sz val="10"/>
        <rFont val="WenQuanYi Zen Hei"/>
        <family val="2"/>
      </rPr>
      <t xml:space="preserve">和 </t>
    </r>
    <r>
      <rPr>
        <sz val="10"/>
        <rFont val="Arial"/>
        <family val="0"/>
        <charset val="1"/>
      </rPr>
      <t xml:space="preserve">"culturally responsive and inclusive programming"</t>
    </r>
    <r>
      <rPr>
        <sz val="10"/>
        <rFont val="WenQuanYi Zen Hei"/>
        <family val="2"/>
      </rPr>
      <t xml:space="preserve">。</t>
    </r>
  </si>
  <si>
    <r>
      <rPr>
        <sz val="10"/>
        <rFont val="WenQuanYi Zen Hei"/>
        <family val="2"/>
      </rPr>
      <t xml:space="preserve">高 </t>
    </r>
    <r>
      <rPr>
        <sz val="10"/>
        <rFont val="Arial"/>
        <family val="0"/>
        <charset val="1"/>
      </rPr>
      <t xml:space="preserve">(</t>
    </r>
    <r>
      <rPr>
        <sz val="10"/>
        <rFont val="WenQuanYi Zen Hei"/>
        <family val="2"/>
      </rPr>
      <t xml:space="preserve">三个主题都能用</t>
    </r>
    <r>
      <rPr>
        <sz val="10"/>
        <rFont val="Arial"/>
        <family val="0"/>
        <charset val="1"/>
      </rPr>
      <t xml:space="preserve">)</t>
    </r>
  </si>
  <si>
    <t xml:space="preserve">F02, F24</t>
  </si>
  <si>
    <t xml:space="preserve">Intro + Theme 1 + Theme 2 + Theme 3 + Conclusion</t>
  </si>
  <si>
    <r>
      <rPr>
        <sz val="10"/>
        <rFont val="WenQuanYi Zen Hei"/>
        <family val="2"/>
      </rPr>
      <t xml:space="preserve">引言：为 </t>
    </r>
    <r>
      <rPr>
        <sz val="10"/>
        <rFont val="Arial"/>
        <family val="0"/>
        <charset val="1"/>
      </rPr>
      <t xml:space="preserve">"especially important for newcomer families in Toronto" </t>
    </r>
    <r>
      <rPr>
        <sz val="10"/>
        <rFont val="WenQuanYi Zen Hei"/>
        <family val="2"/>
      </rPr>
      <t xml:space="preserve">提供来源 </t>
    </r>
    <r>
      <rPr>
        <sz val="10"/>
        <rFont val="Arial"/>
        <family val="0"/>
        <charset val="1"/>
      </rPr>
      <t xml:space="preserve">(p. 27, F02)</t>
    </r>
    <r>
      <rPr>
        <sz val="10"/>
        <rFont val="WenQuanYi Zen Hei"/>
        <family val="2"/>
      </rPr>
      <t xml:space="preserve">。若 </t>
    </r>
    <r>
      <rPr>
        <sz val="10"/>
        <rFont val="Arial"/>
        <family val="0"/>
        <charset val="1"/>
      </rPr>
      <t xml:space="preserve">PDF </t>
    </r>
    <r>
      <rPr>
        <sz val="10"/>
        <rFont val="WenQuanYi Zen Hei"/>
        <family val="2"/>
      </rPr>
      <t xml:space="preserve">里核到上面的片段，它就是三个主题共用的多伦多锚点：</t>
    </r>
    <r>
      <rPr>
        <sz val="10"/>
        <rFont val="Arial"/>
        <family val="0"/>
        <charset val="1"/>
      </rPr>
      <t xml:space="preserve">Theme 1 </t>
    </r>
    <r>
      <rPr>
        <sz val="10"/>
        <rFont val="WenQuanYi Zen Hei"/>
        <family val="2"/>
      </rPr>
      <t xml:space="preserve">难以理解 </t>
    </r>
    <r>
      <rPr>
        <sz val="10"/>
        <rFont val="Arial"/>
        <family val="0"/>
        <charset val="1"/>
      </rPr>
      <t xml:space="preserve">EarlyON</t>
    </r>
    <r>
      <rPr>
        <sz val="10"/>
        <rFont val="WenQuanYi Zen Hei"/>
        <family val="2"/>
      </rPr>
      <t xml:space="preserve">、托育和补贴资格；</t>
    </r>
    <r>
      <rPr>
        <sz val="10"/>
        <rFont val="Arial"/>
        <family val="0"/>
        <charset val="1"/>
      </rPr>
      <t xml:space="preserve">Theme 2 </t>
    </r>
    <r>
      <rPr>
        <sz val="10"/>
        <rFont val="WenQuanYi Zen Hei"/>
        <family val="2"/>
      </rPr>
      <t xml:space="preserve">语言和导航支持；</t>
    </r>
    <r>
      <rPr>
        <sz val="10"/>
        <rFont val="Arial"/>
        <family val="0"/>
        <charset val="1"/>
      </rPr>
      <t xml:space="preserve">Theme 3 </t>
    </r>
    <r>
      <rPr>
        <sz val="10"/>
        <rFont val="WenQuanYi Zen Hei"/>
        <family val="2"/>
      </rPr>
      <t xml:space="preserve">文化回应的项目。</t>
    </r>
    <r>
      <rPr>
        <sz val="10"/>
        <rFont val="Arial"/>
        <family val="0"/>
        <charset val="1"/>
      </rPr>
      <t xml:space="preserve">"navigation" </t>
    </r>
    <r>
      <rPr>
        <sz val="10"/>
        <rFont val="WenQuanYi Zen Hei"/>
        <family val="2"/>
      </rPr>
      <t xml:space="preserve">是市政府用词，引用时注明出处，不拿来当主题名。⚠ </t>
    </r>
    <r>
      <rPr>
        <sz val="10"/>
        <rFont val="Arial"/>
        <family val="0"/>
        <charset val="1"/>
      </rPr>
      <t xml:space="preserve">References </t>
    </r>
    <r>
      <rPr>
        <sz val="10"/>
        <rFont val="WenQuanYi Zen Hei"/>
        <family val="2"/>
      </rPr>
      <t xml:space="preserve">的 </t>
    </r>
    <r>
      <rPr>
        <sz val="10"/>
        <rFont val="Arial"/>
        <family val="0"/>
        <charset val="1"/>
      </rPr>
      <t xml:space="preserve">URL </t>
    </r>
    <r>
      <rPr>
        <sz val="10"/>
        <rFont val="WenQuanYi Zen Hei"/>
        <family val="2"/>
      </rPr>
      <t xml:space="preserve">是 </t>
    </r>
    <r>
      <rPr>
        <sz val="10"/>
        <rFont val="Arial"/>
        <family val="0"/>
        <charset val="1"/>
      </rPr>
      <t xml:space="preserve">backgroundfile-256726.pdf</t>
    </r>
    <r>
      <rPr>
        <sz val="10"/>
        <rFont val="WenQuanYi Zen Hei"/>
        <family val="2"/>
      </rPr>
      <t xml:space="preserve">；检索显示 </t>
    </r>
    <r>
      <rPr>
        <sz val="10"/>
        <rFont val="Arial"/>
        <family val="0"/>
        <charset val="1"/>
      </rPr>
      <t xml:space="preserve">256726 </t>
    </r>
    <r>
      <rPr>
        <sz val="10"/>
        <rFont val="WenQuanYi Zen Hei"/>
        <family val="2"/>
      </rPr>
      <t xml:space="preserve">可能是附件 </t>
    </r>
    <r>
      <rPr>
        <sz val="10"/>
        <rFont val="Arial"/>
        <family val="0"/>
        <charset val="1"/>
      </rPr>
      <t xml:space="preserve">2 (engagement summary)</t>
    </r>
    <r>
      <rPr>
        <sz val="10"/>
        <rFont val="WenQuanYi Zen Hei"/>
        <family val="2"/>
      </rPr>
      <t xml:space="preserve">，规划正文可能是 </t>
    </r>
    <r>
      <rPr>
        <sz val="10"/>
        <rFont val="Arial"/>
        <family val="0"/>
        <charset val="1"/>
      </rPr>
      <t xml:space="preserve">256725 </t>
    </r>
    <r>
      <rPr>
        <sz val="10"/>
        <rFont val="WenQuanYi Zen Hei"/>
        <family val="2"/>
      </rPr>
      <t xml:space="preserve">或 </t>
    </r>
    <r>
      <rPr>
        <sz val="10"/>
        <rFont val="Arial"/>
        <family val="0"/>
        <charset val="1"/>
      </rPr>
      <t xml:space="preserve">256727</t>
    </r>
    <r>
      <rPr>
        <sz val="10"/>
        <rFont val="WenQuanYi Zen Hei"/>
        <family val="2"/>
      </rPr>
      <t xml:space="preserve">。打开核对标题和文件是否一致。</t>
    </r>
  </si>
  <si>
    <t xml:space="preserve">页码待复核</t>
  </si>
  <si>
    <t xml:space="preserve">X1</t>
  </si>
  <si>
    <t xml:space="preserve">Zamanbin et al. (2026)</t>
  </si>
  <si>
    <r>
      <rPr>
        <sz val="10"/>
        <rFont val="WenQuanYi Zen Hei"/>
        <family val="2"/>
      </rPr>
      <t xml:space="preserve">原始研究 </t>
    </r>
    <r>
      <rPr>
        <sz val="10"/>
        <rFont val="Arial"/>
        <family val="0"/>
        <charset val="1"/>
      </rPr>
      <t xml:space="preserve">· </t>
    </r>
    <r>
      <rPr>
        <sz val="10"/>
        <rFont val="WenQuanYi Zen Hei"/>
        <family val="2"/>
      </rPr>
      <t xml:space="preserve">面板问卷</t>
    </r>
  </si>
  <si>
    <t xml:space="preserve">荷兰</t>
  </si>
  <si>
    <r>
      <rPr>
        <sz val="10"/>
        <rFont val="Arial"/>
        <family val="0"/>
        <charset val="1"/>
      </rPr>
      <t xml:space="preserve">548 </t>
    </r>
    <r>
      <rPr>
        <sz val="10"/>
        <rFont val="WenQuanYi Zen Hei"/>
        <family val="2"/>
      </rPr>
      <t xml:space="preserve">名家长</t>
    </r>
  </si>
  <si>
    <r>
      <rPr>
        <sz val="10"/>
        <rFont val="Arial"/>
        <family val="0"/>
        <charset val="1"/>
      </rPr>
      <t xml:space="preserve">Theme 1 (</t>
    </r>
    <r>
      <rPr>
        <sz val="10"/>
        <rFont val="WenQuanYi Zen Hei"/>
        <family val="2"/>
      </rPr>
      <t xml:space="preserve">旧</t>
    </r>
    <r>
      <rPr>
        <sz val="10"/>
        <rFont val="Arial"/>
        <family val="0"/>
        <charset val="1"/>
      </rPr>
      <t xml:space="preserve">, 2 </t>
    </r>
    <r>
      <rPr>
        <sz val="10"/>
        <rFont val="WenQuanYi Zen Hei"/>
        <family val="2"/>
      </rPr>
      <t xml:space="preserve">处</t>
    </r>
    <r>
      <rPr>
        <sz val="10"/>
        <rFont val="Arial"/>
        <family val="0"/>
        <charset val="1"/>
      </rPr>
      <t xml:space="preserve">)</t>
    </r>
  </si>
  <si>
    <r>
      <rPr>
        <sz val="10"/>
        <rFont val="Arial"/>
        <family val="0"/>
        <charset val="1"/>
      </rPr>
      <t xml:space="preserve">p. 94: </t>
    </r>
    <r>
      <rPr>
        <sz val="10"/>
        <rFont val="WenQuanYi Zen Hei"/>
        <family val="2"/>
      </rPr>
      <t xml:space="preserve">移民背景与感知可及性没有显著关系；功能读写能力和数字能力有关。</t>
    </r>
  </si>
  <si>
    <t xml:space="preserve">低</t>
  </si>
  <si>
    <r>
      <rPr>
        <sz val="10"/>
        <rFont val="WenQuanYi Zen Hei"/>
        <family val="2"/>
      </rPr>
      <t xml:space="preserve">教授当场判定不相关 </t>
    </r>
    <r>
      <rPr>
        <sz val="10"/>
        <rFont val="Arial"/>
        <family val="0"/>
        <charset val="1"/>
      </rPr>
      <t xml:space="preserve">(F15)</t>
    </r>
    <r>
      <rPr>
        <sz val="10"/>
        <rFont val="WenQuanYi Zen Hei"/>
        <family val="2"/>
      </rPr>
      <t xml:space="preserve">。从正文删除；它本来也不在 </t>
    </r>
    <r>
      <rPr>
        <sz val="10"/>
        <rFont val="Arial"/>
        <family val="0"/>
        <charset val="1"/>
      </rPr>
      <t xml:space="preserve">References</t>
    </r>
    <r>
      <rPr>
        <sz val="10"/>
        <rFont val="WenQuanYi Zen Hei"/>
        <family val="2"/>
      </rPr>
      <t xml:space="preserve">。</t>
    </r>
  </si>
  <si>
    <r>
      <rPr>
        <sz val="10"/>
        <rFont val="WenQuanYi Zen Hei"/>
        <family val="2"/>
      </rPr>
      <t xml:space="preserve">未列入 </t>
    </r>
    <r>
      <rPr>
        <sz val="10"/>
        <rFont val="Arial"/>
        <family val="0"/>
        <charset val="1"/>
      </rPr>
      <t xml:space="preserve">(</t>
    </r>
    <r>
      <rPr>
        <sz val="10"/>
        <rFont val="WenQuanYi Zen Hei"/>
        <family val="2"/>
      </rPr>
      <t xml:space="preserve">正文引用却缺条目</t>
    </r>
    <r>
      <rPr>
        <sz val="10"/>
        <rFont val="Arial"/>
        <family val="0"/>
        <charset val="1"/>
      </rPr>
      <t xml:space="preserve">)</t>
    </r>
  </si>
  <si>
    <t xml:space="preserve">X2</t>
  </si>
  <si>
    <t xml:space="preserve">Bhattashali et al. (2026)</t>
  </si>
  <si>
    <r>
      <rPr>
        <sz val="10"/>
        <rFont val="WenQuanYi Zen Hei"/>
        <family val="2"/>
      </rPr>
      <t xml:space="preserve">美国 </t>
    </r>
    <r>
      <rPr>
        <sz val="10"/>
        <rFont val="Arial"/>
        <family val="0"/>
        <charset val="1"/>
      </rPr>
      <t xml:space="preserve">(</t>
    </r>
    <r>
      <rPr>
        <sz val="10"/>
        <rFont val="WenQuanYi Zen Hei"/>
        <family val="2"/>
      </rPr>
      <t xml:space="preserve">中西部</t>
    </r>
    <r>
      <rPr>
        <sz val="10"/>
        <rFont val="Arial"/>
        <family val="0"/>
        <charset val="1"/>
      </rPr>
      <t xml:space="preserve">)</t>
    </r>
  </si>
  <si>
    <r>
      <rPr>
        <sz val="10"/>
        <rFont val="Arial"/>
        <family val="0"/>
        <charset val="1"/>
      </rPr>
      <t xml:space="preserve">9 </t>
    </r>
    <r>
      <rPr>
        <sz val="10"/>
        <rFont val="WenQuanYi Zen Hei"/>
        <family val="2"/>
      </rPr>
      <t xml:space="preserve">名早期教育者</t>
    </r>
  </si>
  <si>
    <r>
      <rPr>
        <sz val="10"/>
        <rFont val="WenQuanYi Zen Hei"/>
        <family val="2"/>
      </rPr>
      <t xml:space="preserve">部分 </t>
    </r>
    <r>
      <rPr>
        <sz val="10"/>
        <rFont val="Arial"/>
        <family val="0"/>
        <charset val="1"/>
      </rPr>
      <t xml:space="preserve">(</t>
    </r>
    <r>
      <rPr>
        <sz val="10"/>
        <rFont val="WenQuanYi Zen Hei"/>
        <family val="2"/>
      </rPr>
      <t xml:space="preserve">服务难民家庭的教育者</t>
    </r>
    <r>
      <rPr>
        <sz val="10"/>
        <rFont val="Arial"/>
        <family val="0"/>
        <charset val="1"/>
      </rPr>
      <t xml:space="preserve">)</t>
    </r>
  </si>
  <si>
    <r>
      <rPr>
        <sz val="10"/>
        <rFont val="Arial"/>
        <family val="0"/>
        <charset val="1"/>
      </rPr>
      <t xml:space="preserve">pp. 173–174: </t>
    </r>
    <r>
      <rPr>
        <sz val="10"/>
        <rFont val="WenQuanYi Zen Hei"/>
        <family val="2"/>
      </rPr>
      <t xml:space="preserve">口译问题；教育者要求语言和文化支持。</t>
    </r>
  </si>
  <si>
    <t xml:space="preserve">中–低</t>
  </si>
  <si>
    <r>
      <rPr>
        <b val="true"/>
        <sz val="10"/>
        <rFont val="WenQuanYi Zen Hei"/>
        <family val="2"/>
      </rPr>
      <t xml:space="preserve">删除 </t>
    </r>
    <r>
      <rPr>
        <b val="true"/>
        <sz val="10"/>
        <rFont val="Arial"/>
        <family val="0"/>
        <charset val="1"/>
      </rPr>
      <t xml:space="preserve">(</t>
    </r>
    <r>
      <rPr>
        <b val="true"/>
        <sz val="10"/>
        <rFont val="WenQuanYi Zen Hei"/>
        <family val="2"/>
      </rPr>
      <t xml:space="preserve">或补入 </t>
    </r>
    <r>
      <rPr>
        <b val="true"/>
        <sz val="10"/>
        <rFont val="Arial"/>
        <family val="0"/>
        <charset val="1"/>
      </rPr>
      <t xml:space="preserve">References)</t>
    </r>
  </si>
  <si>
    <r>
      <rPr>
        <sz val="10"/>
        <rFont val="Arial"/>
        <family val="0"/>
        <charset val="1"/>
      </rPr>
      <t xml:space="preserve">Theme 2 (</t>
    </r>
    <r>
      <rPr>
        <sz val="10"/>
        <rFont val="WenQuanYi Zen Hei"/>
        <family val="2"/>
      </rPr>
      <t xml:space="preserve">可选</t>
    </r>
    <r>
      <rPr>
        <sz val="10"/>
        <rFont val="Arial"/>
        <family val="0"/>
        <charset val="1"/>
      </rPr>
      <t xml:space="preserve">)</t>
    </r>
  </si>
  <si>
    <r>
      <rPr>
        <sz val="10"/>
        <rFont val="WenQuanYi Zen Hei"/>
        <family val="2"/>
      </rPr>
      <t xml:space="preserve">教育者视角，美国研究。建议删除以减少国家和篇幅。若保留，须补 </t>
    </r>
    <r>
      <rPr>
        <sz val="10"/>
        <rFont val="Arial"/>
        <family val="0"/>
        <charset val="1"/>
      </rPr>
      <t xml:space="preserve">References</t>
    </r>
    <r>
      <rPr>
        <sz val="10"/>
        <rFont val="WenQuanYi Zen Hei"/>
        <family val="2"/>
      </rPr>
      <t xml:space="preserve">：</t>
    </r>
    <r>
      <rPr>
        <sz val="10"/>
        <rFont val="Arial"/>
        <family val="0"/>
        <charset val="1"/>
      </rPr>
      <t xml:space="preserve">Bhattashali, A., Cheatham, G. A., &amp; Kwiatek, S. M. (2026). Exploring equitable partnerships among refugee families and early childhood educators. Topics in Early Childhood Special Education, 46(2), 169–180. https://doi.org/10.1177/02711214251371681</t>
    </r>
  </si>
  <si>
    <t xml:space="preserve">X3</t>
  </si>
  <si>
    <t xml:space="preserve">Ajayi et al. (2026)</t>
  </si>
  <si>
    <r>
      <rPr>
        <sz val="10"/>
        <rFont val="WenQuanYi Zen Hei"/>
        <family val="2"/>
      </rPr>
      <t xml:space="preserve">加拿大 </t>
    </r>
    <r>
      <rPr>
        <sz val="10"/>
        <rFont val="Arial"/>
        <family val="0"/>
        <charset val="1"/>
      </rPr>
      <t xml:space="preserve">(</t>
    </r>
    <r>
      <rPr>
        <sz val="10"/>
        <rFont val="WenQuanYi Zen Hei"/>
        <family val="2"/>
      </rPr>
      <t xml:space="preserve">安省 </t>
    </r>
    <r>
      <rPr>
        <sz val="10"/>
        <rFont val="Arial"/>
        <family val="0"/>
        <charset val="1"/>
      </rPr>
      <t xml:space="preserve">Kingston </t>
    </r>
    <r>
      <rPr>
        <sz val="10"/>
        <rFont val="WenQuanYi Zen Hei"/>
        <family val="2"/>
      </rPr>
      <t xml:space="preserve">与 </t>
    </r>
    <r>
      <rPr>
        <sz val="10"/>
        <rFont val="Arial"/>
        <family val="0"/>
        <charset val="1"/>
      </rPr>
      <t xml:space="preserve">London)</t>
    </r>
  </si>
  <si>
    <r>
      <rPr>
        <sz val="10"/>
        <rFont val="Arial"/>
        <family val="0"/>
        <charset val="1"/>
      </rPr>
      <t xml:space="preserve">25 </t>
    </r>
    <r>
      <rPr>
        <sz val="10"/>
        <rFont val="WenQuanYi Zen Hei"/>
        <family val="2"/>
      </rPr>
      <t xml:space="preserve">名黑人家长</t>
    </r>
  </si>
  <si>
    <t xml:space="preserve">未确认</t>
  </si>
  <si>
    <r>
      <rPr>
        <sz val="10"/>
        <rFont val="Arial"/>
        <family val="0"/>
        <charset val="1"/>
      </rPr>
      <t xml:space="preserve">Theme 2 (</t>
    </r>
    <r>
      <rPr>
        <sz val="10"/>
        <rFont val="WenQuanYi Zen Hei"/>
        <family val="2"/>
      </rPr>
      <t xml:space="preserve">旧</t>
    </r>
    <r>
      <rPr>
        <sz val="10"/>
        <rFont val="Arial"/>
        <family val="0"/>
        <charset val="1"/>
      </rPr>
      <t xml:space="preserve">, 1 </t>
    </r>
    <r>
      <rPr>
        <sz val="10"/>
        <rFont val="WenQuanYi Zen Hei"/>
        <family val="2"/>
      </rPr>
      <t xml:space="preserve">处</t>
    </r>
    <r>
      <rPr>
        <sz val="10"/>
        <rFont val="Arial"/>
        <family val="0"/>
        <charset val="1"/>
      </rPr>
      <t xml:space="preserve">)</t>
    </r>
  </si>
  <si>
    <r>
      <rPr>
        <sz val="10"/>
        <rFont val="WenQuanYi Zen Hei"/>
        <family val="2"/>
      </rPr>
      <t xml:space="preserve">全文未读。之前上传的 </t>
    </r>
    <r>
      <rPr>
        <sz val="10"/>
        <rFont val="Arial"/>
        <family val="0"/>
        <charset val="1"/>
      </rPr>
      <t xml:space="preserve">"Ajayi" </t>
    </r>
    <r>
      <rPr>
        <sz val="10"/>
        <rFont val="WenQuanYi Zen Hei"/>
        <family val="2"/>
      </rPr>
      <t xml:space="preserve">文件实为 </t>
    </r>
    <r>
      <rPr>
        <sz val="10"/>
        <rFont val="Arial"/>
        <family val="0"/>
        <charset val="1"/>
      </rPr>
      <t xml:space="preserve">Ricciardi &amp; Winsler (2024)</t>
    </r>
    <r>
      <rPr>
        <sz val="10"/>
        <rFont val="WenQuanYi Zen Hei"/>
        <family val="2"/>
      </rPr>
      <t xml:space="preserve">。检索片段：纳入条件是 </t>
    </r>
    <r>
      <rPr>
        <sz val="10"/>
        <rFont val="Arial"/>
        <family val="0"/>
        <charset val="1"/>
      </rPr>
      <t xml:space="preserve">"English-speaking Black parents and caregivers 18 years of age and older who had children 5 years old or younger ... and used ELCC services in Kingston or London"</t>
    </r>
    <r>
      <rPr>
        <sz val="10"/>
        <rFont val="WenQuanYi Zen Hei"/>
        <family val="2"/>
      </rPr>
      <t xml:space="preserve">；四个主题：系统性障碍、缺乏信息与社区支持、托育场所的文化不敏感、经济困难。参考文献 </t>
    </r>
    <r>
      <rPr>
        <sz val="10"/>
        <rFont val="Arial"/>
        <family val="0"/>
        <charset val="1"/>
      </rPr>
      <t xml:space="preserve">(</t>
    </r>
    <r>
      <rPr>
        <sz val="10"/>
        <rFont val="WenQuanYi Zen Hei"/>
        <family val="2"/>
      </rPr>
      <t xml:space="preserve">片段</t>
    </r>
    <r>
      <rPr>
        <sz val="10"/>
        <rFont val="Arial"/>
        <family val="0"/>
        <charset val="1"/>
      </rPr>
      <t xml:space="preserve">)</t>
    </r>
    <r>
      <rPr>
        <sz val="10"/>
        <rFont val="WenQuanYi Zen Hei"/>
        <family val="2"/>
      </rPr>
      <t xml:space="preserve">：</t>
    </r>
    <r>
      <rPr>
        <sz val="10"/>
        <rFont val="Arial"/>
        <family val="0"/>
        <charset val="1"/>
      </rPr>
      <t xml:space="preserve">Ajayi, M., Siiba, A., Kangmennaang, J., Macdonald, D., &amp; Luginaah, I. (2026). "I'm appalled and astonished": Experiences of Black parents and caregivers navigating early learning and childcare in Kingston and London, Ontario. Journal of Childhood Studies, 51(1), [</t>
    </r>
    <r>
      <rPr>
        <sz val="10"/>
        <rFont val="WenQuanYi Zen Hei"/>
        <family val="2"/>
      </rPr>
      <t xml:space="preserve">页码 </t>
    </r>
    <r>
      <rPr>
        <sz val="10"/>
        <rFont val="Arial"/>
        <family val="0"/>
        <charset val="1"/>
      </rPr>
      <t xml:space="preserve">NOT VERIFIED]. https://doi.org/10.18357/jcs511202622373 (DOI </t>
    </r>
    <r>
      <rPr>
        <sz val="10"/>
        <rFont val="WenQuanYi Zen Hei"/>
        <family val="2"/>
      </rPr>
      <t xml:space="preserve">未解析</t>
    </r>
    <r>
      <rPr>
        <sz val="10"/>
        <rFont val="Arial"/>
        <family val="0"/>
        <charset val="1"/>
      </rPr>
      <t xml:space="preserve">)</t>
    </r>
  </si>
  <si>
    <r>
      <rPr>
        <sz val="10"/>
        <rFont val="WenQuanYi Zen Hei"/>
        <family val="2"/>
      </rPr>
      <t xml:space="preserve">高 </t>
    </r>
    <r>
      <rPr>
        <sz val="10"/>
        <rFont val="Arial"/>
        <family val="0"/>
        <charset val="1"/>
      </rPr>
      <t xml:space="preserve">(</t>
    </r>
    <r>
      <rPr>
        <sz val="10"/>
        <rFont val="WenQuanYi Zen Hei"/>
        <family val="2"/>
      </rPr>
      <t xml:space="preserve">安省；但未确认是否含新移民</t>
    </r>
    <r>
      <rPr>
        <sz val="10"/>
        <rFont val="Arial"/>
        <family val="0"/>
        <charset val="1"/>
      </rPr>
      <t xml:space="preserve">)</t>
    </r>
  </si>
  <si>
    <t xml:space="preserve">待核 → 很可能保留</t>
  </si>
  <si>
    <r>
      <rPr>
        <sz val="10"/>
        <rFont val="Arial"/>
        <family val="0"/>
        <charset val="1"/>
      </rPr>
      <t xml:space="preserve">Theme 1 (</t>
    </r>
    <r>
      <rPr>
        <sz val="10"/>
        <rFont val="WenQuanYi Zen Hei"/>
        <family val="2"/>
      </rPr>
      <t xml:space="preserve">信息</t>
    </r>
    <r>
      <rPr>
        <sz val="10"/>
        <rFont val="Arial"/>
        <family val="0"/>
        <charset val="1"/>
      </rPr>
      <t xml:space="preserve">) + Theme 3 (</t>
    </r>
    <r>
      <rPr>
        <sz val="10"/>
        <rFont val="WenQuanYi Zen Hei"/>
        <family val="2"/>
      </rPr>
      <t xml:space="preserve">文化不敏感</t>
    </r>
    <r>
      <rPr>
        <sz val="10"/>
        <rFont val="Arial"/>
        <family val="0"/>
        <charset val="1"/>
      </rPr>
      <t xml:space="preserve">)</t>
    </r>
  </si>
  <si>
    <r>
      <rPr>
        <sz val="10"/>
        <rFont val="WenQuanYi Zen Hei"/>
        <family val="2"/>
      </rPr>
      <t xml:space="preserve">安省研究，正好回答教授 </t>
    </r>
    <r>
      <rPr>
        <sz val="10"/>
        <rFont val="Arial"/>
        <family val="0"/>
        <charset val="1"/>
      </rPr>
      <t xml:space="preserve">"What is the literature saying about newcomer families in Canada?"</t>
    </r>
    <r>
      <rPr>
        <sz val="10"/>
        <rFont val="WenQuanYi Zen Hei"/>
        <family val="2"/>
      </rPr>
      <t xml:space="preserve">。须先下载正确 </t>
    </r>
    <r>
      <rPr>
        <sz val="10"/>
        <rFont val="Arial"/>
        <family val="0"/>
        <charset val="1"/>
      </rPr>
      <t xml:space="preserve">PDF (</t>
    </r>
    <r>
      <rPr>
        <sz val="10"/>
        <rFont val="WenQuanYi Zen Hei"/>
        <family val="2"/>
      </rPr>
      <t xml:space="preserve">开放获取：</t>
    </r>
    <r>
      <rPr>
        <sz val="10"/>
        <rFont val="Arial"/>
        <family val="0"/>
        <charset val="1"/>
      </rPr>
      <t xml:space="preserve">journals.uvic.ca/index.php/jcs/article/download/22373/10382)</t>
    </r>
    <r>
      <rPr>
        <sz val="10"/>
        <rFont val="WenQuanYi Zen Hei"/>
        <family val="2"/>
      </rPr>
      <t xml:space="preserve">，核对样本是否包含移民家长，再补 </t>
    </r>
    <r>
      <rPr>
        <sz val="10"/>
        <rFont val="Arial"/>
        <family val="0"/>
        <charset val="1"/>
      </rPr>
      <t xml:space="preserve">References</t>
    </r>
    <r>
      <rPr>
        <sz val="10"/>
        <rFont val="WenQuanYi Zen Hei"/>
        <family val="2"/>
      </rPr>
      <t xml:space="preserve">。样本是使用过托育的黑人家长：除非全文写明有新移民，否则只能写 </t>
    </r>
    <r>
      <rPr>
        <sz val="10"/>
        <rFont val="Arial"/>
        <family val="0"/>
        <charset val="1"/>
      </rPr>
      <t xml:space="preserve">"Black families in Ontario"</t>
    </r>
    <r>
      <rPr>
        <sz val="10"/>
        <rFont val="WenQuanYi Zen Hei"/>
        <family val="2"/>
      </rPr>
      <t xml:space="preserve">，不能写成新移民研究。</t>
    </r>
  </si>
  <si>
    <t xml:space="preserve">安省可保留</t>
  </si>
  <si>
    <t xml:space="preserve">全文未读</t>
  </si>
  <si>
    <t xml:space="preserve">删除类型</t>
  </si>
  <si>
    <t xml:space="preserve">对象</t>
  </si>
  <si>
    <r>
      <rPr>
        <b val="true"/>
        <sz val="10"/>
        <color rgb="FFFFFFFF"/>
        <rFont val="WenQuanYi Zen Hei"/>
        <family val="2"/>
      </rPr>
      <t xml:space="preserve">草稿中的原文 </t>
    </r>
    <r>
      <rPr>
        <b val="true"/>
        <sz val="10"/>
        <color rgb="FFFFFFFF"/>
        <rFont val="Arial"/>
        <family val="0"/>
        <charset val="1"/>
      </rPr>
      <t xml:space="preserve">(</t>
    </r>
    <r>
      <rPr>
        <b val="true"/>
        <sz val="10"/>
        <color rgb="FFFFFFFF"/>
        <rFont val="WenQuanYi Zen Hei"/>
        <family val="2"/>
      </rPr>
      <t xml:space="preserve">开头或要点</t>
    </r>
    <r>
      <rPr>
        <b val="true"/>
        <sz val="10"/>
        <color rgb="FFFFFFFF"/>
        <rFont val="Arial"/>
        <family val="0"/>
        <charset val="1"/>
      </rPr>
      <t xml:space="preserve">)</t>
    </r>
  </si>
  <si>
    <t xml:space="preserve">原因</t>
  </si>
  <si>
    <t xml:space="preserve">依据</t>
  </si>
  <si>
    <t xml:space="preserve">D01</t>
  </si>
  <si>
    <t xml:space="preserve">整篇文献</t>
  </si>
  <si>
    <r>
      <rPr>
        <sz val="10"/>
        <rFont val="WenQuanYi Zen Hei"/>
        <family val="2"/>
      </rPr>
      <t xml:space="preserve">只在 </t>
    </r>
    <r>
      <rPr>
        <sz val="10"/>
        <rFont val="Arial"/>
        <family val="0"/>
        <charset val="1"/>
      </rPr>
      <t xml:space="preserve">References </t>
    </r>
    <r>
      <rPr>
        <sz val="10"/>
        <rFont val="WenQuanYi Zen Hei"/>
        <family val="2"/>
      </rPr>
      <t xml:space="preserve">中，正文没有引用</t>
    </r>
  </si>
  <si>
    <r>
      <rPr>
        <sz val="10"/>
        <rFont val="WenQuanYi Zen Hei"/>
        <family val="2"/>
      </rPr>
      <t xml:space="preserve">多出来的参考文献条目；</t>
    </r>
    <r>
      <rPr>
        <sz val="10"/>
        <rFont val="Arial"/>
        <family val="0"/>
        <charset val="1"/>
      </rPr>
      <t xml:space="preserve">WIC </t>
    </r>
    <r>
      <rPr>
        <sz val="10"/>
        <rFont val="WenQuanYi Zen Hei"/>
        <family val="2"/>
      </rPr>
      <t xml:space="preserve">是营养项目，不是托育资源</t>
    </r>
  </si>
  <si>
    <r>
      <rPr>
        <sz val="10"/>
        <rFont val="Arial"/>
        <family val="0"/>
        <charset val="1"/>
      </rPr>
      <t xml:space="preserve">F23</t>
    </r>
    <r>
      <rPr>
        <sz val="10"/>
        <rFont val="WenQuanYi Zen Hei"/>
        <family val="2"/>
      </rPr>
      <t xml:space="preserve">；</t>
    </r>
    <r>
      <rPr>
        <sz val="10"/>
        <rFont val="Arial"/>
        <family val="0"/>
        <charset val="1"/>
      </rPr>
      <t xml:space="preserve">APA </t>
    </r>
    <r>
      <rPr>
        <sz val="10"/>
        <rFont val="WenQuanYi Zen Hei"/>
        <family val="2"/>
      </rPr>
      <t xml:space="preserve">正文与参考文献要一一对应</t>
    </r>
  </si>
  <si>
    <t xml:space="preserve">D02</t>
  </si>
  <si>
    <r>
      <rPr>
        <sz val="10"/>
        <rFont val="Arial"/>
        <family val="0"/>
        <charset val="1"/>
      </rPr>
      <t xml:space="preserve">"Rather than contradicting these findings, Zamanbin et al. (2026) locate the barrier at a different level..." (</t>
    </r>
    <r>
      <rPr>
        <sz val="10"/>
        <rFont val="WenQuanYi Zen Hei"/>
        <family val="2"/>
      </rPr>
      <t xml:space="preserve">出现两次</t>
    </r>
    <r>
      <rPr>
        <sz val="10"/>
        <rFont val="Arial"/>
        <family val="0"/>
        <charset val="1"/>
      </rPr>
      <t xml:space="preserve">)</t>
    </r>
  </si>
  <si>
    <r>
      <rPr>
        <sz val="10"/>
        <rFont val="WenQuanYi Zen Hei"/>
        <family val="2"/>
      </rPr>
      <t xml:space="preserve">教授判定与论点无关并当场删除；本来也不在 </t>
    </r>
    <r>
      <rPr>
        <sz val="10"/>
        <rFont val="Arial"/>
        <family val="0"/>
        <charset val="1"/>
      </rPr>
      <t xml:space="preserve">References</t>
    </r>
  </si>
  <si>
    <t xml:space="preserve">D03</t>
  </si>
  <si>
    <r>
      <rPr>
        <sz val="10"/>
        <rFont val="WenQuanYi Zen Hei"/>
        <family val="2"/>
      </rPr>
      <t xml:space="preserve">整篇文献 </t>
    </r>
    <r>
      <rPr>
        <sz val="10"/>
        <rFont val="Arial"/>
        <family val="0"/>
        <charset val="1"/>
      </rPr>
      <t xml:space="preserve">(</t>
    </r>
    <r>
      <rPr>
        <sz val="10"/>
        <rFont val="WenQuanYi Zen Hei"/>
        <family val="2"/>
      </rPr>
      <t xml:space="preserve">建议</t>
    </r>
    <r>
      <rPr>
        <sz val="10"/>
        <rFont val="Arial"/>
        <family val="0"/>
        <charset val="1"/>
      </rPr>
      <t xml:space="preserve">)</t>
    </r>
  </si>
  <si>
    <t xml:space="preserve">"Nine early educators in U.S. Midwestern public preschools reported language barriers..."</t>
  </si>
  <si>
    <r>
      <rPr>
        <sz val="10"/>
        <rFont val="WenQuanYi Zen Hei"/>
        <family val="2"/>
      </rPr>
      <t xml:space="preserve">美国研究、教育者视角；</t>
    </r>
    <r>
      <rPr>
        <sz val="10"/>
        <rFont val="Arial"/>
        <family val="0"/>
        <charset val="1"/>
      </rPr>
      <t xml:space="preserve">References </t>
    </r>
    <r>
      <rPr>
        <sz val="10"/>
        <rFont val="WenQuanYi Zen Hei"/>
        <family val="2"/>
      </rPr>
      <t xml:space="preserve">缺条目。若保留，须补 </t>
    </r>
    <r>
      <rPr>
        <sz val="10"/>
        <rFont val="Arial"/>
        <family val="0"/>
        <charset val="1"/>
      </rPr>
      <t xml:space="preserve">References (</t>
    </r>
    <r>
      <rPr>
        <sz val="10"/>
        <rFont val="WenQuanYi Zen Hei"/>
        <family val="2"/>
      </rPr>
      <t xml:space="preserve">见“现有文献”</t>
    </r>
    <r>
      <rPr>
        <sz val="10"/>
        <rFont val="Arial"/>
        <family val="0"/>
        <charset val="1"/>
      </rPr>
      <t xml:space="preserve">X2)</t>
    </r>
  </si>
  <si>
    <t xml:space="preserve">D04</t>
  </si>
  <si>
    <t xml:space="preserve">"In their survey of 227 immigrant caregivers in New Mexico's borderlands, 32.6%..."</t>
  </si>
  <si>
    <t xml:space="preserve">美国研究；测的是单一时间点的使用，不是理解 → 使用。只有在结论里用来说明“单一时间点”时才保留</t>
  </si>
  <si>
    <t xml:space="preserve">D05</t>
  </si>
  <si>
    <r>
      <rPr>
        <sz val="10"/>
        <rFont val="WenQuanYi Zen Hei"/>
        <family val="2"/>
      </rPr>
      <t xml:space="preserve">整篇文献 </t>
    </r>
    <r>
      <rPr>
        <sz val="10"/>
        <rFont val="Arial"/>
        <family val="0"/>
        <charset val="1"/>
      </rPr>
      <t xml:space="preserve">(</t>
    </r>
    <r>
      <rPr>
        <sz val="10"/>
        <rFont val="WenQuanYi Zen Hei"/>
        <family val="2"/>
      </rPr>
      <t xml:space="preserve">篇幅紧时</t>
    </r>
    <r>
      <rPr>
        <sz val="10"/>
        <rFont val="Arial"/>
        <family val="0"/>
        <charset val="1"/>
      </rPr>
      <t xml:space="preserve">)</t>
    </r>
  </si>
  <si>
    <r>
      <rPr>
        <sz val="10"/>
        <rFont val="Arial"/>
        <family val="0"/>
        <charset val="1"/>
      </rPr>
      <t xml:space="preserve">Theme 3 </t>
    </r>
    <r>
      <rPr>
        <sz val="10"/>
        <rFont val="WenQuanYi Zen Hei"/>
        <family val="2"/>
      </rPr>
      <t xml:space="preserve">中 </t>
    </r>
    <r>
      <rPr>
        <sz val="10"/>
        <rFont val="Arial"/>
        <family val="0"/>
        <charset val="1"/>
      </rPr>
      <t xml:space="preserve">3 </t>
    </r>
    <r>
      <rPr>
        <sz val="10"/>
        <rFont val="WenQuanYi Zen Hei"/>
        <family val="2"/>
      </rPr>
      <t xml:space="preserve">处</t>
    </r>
  </si>
  <si>
    <r>
      <rPr>
        <sz val="10"/>
        <rFont val="WenQuanYi Zen Hei"/>
        <family val="2"/>
      </rPr>
      <t xml:space="preserve">与 </t>
    </r>
    <r>
      <rPr>
        <sz val="10"/>
        <rFont val="Arial"/>
        <family val="0"/>
        <charset val="1"/>
      </rPr>
      <t xml:space="preserve">Lund (2024) </t>
    </r>
    <r>
      <rPr>
        <sz val="10"/>
        <rFont val="WenQuanYi Zen Hei"/>
        <family val="2"/>
      </rPr>
      <t xml:space="preserve">同作者同国家；新结构里只需要 </t>
    </r>
    <r>
      <rPr>
        <sz val="10"/>
        <rFont val="Arial"/>
        <family val="0"/>
        <charset val="1"/>
      </rPr>
      <t xml:space="preserve">p. 13 </t>
    </r>
    <r>
      <rPr>
        <sz val="10"/>
        <rFont val="WenQuanYi Zen Hei"/>
        <family val="2"/>
      </rPr>
      <t xml:space="preserve">一句</t>
    </r>
  </si>
  <si>
    <t xml:space="preserve">F23, F25</t>
  </si>
  <si>
    <t xml:space="preserve">D06</t>
  </si>
  <si>
    <t xml:space="preserve">句子</t>
  </si>
  <si>
    <t xml:space="preserve">"So I want to look at how the policy actually reaches families... Right now I think I can organize the literature into three parts..."</t>
  </si>
  <si>
    <t xml:space="preserve">第一人称口语；研究目的偏向政策执行</t>
  </si>
  <si>
    <t xml:space="preserve">F01, F04</t>
  </si>
  <si>
    <t xml:space="preserve">D07</t>
  </si>
  <si>
    <t xml:space="preserve">"I also started to think that knowing about or finding a resource is not the same as actually using it."</t>
  </si>
  <si>
    <r>
      <rPr>
        <sz val="10"/>
        <rFont val="WenQuanYi Zen Hei"/>
        <family val="2"/>
      </rPr>
      <t xml:space="preserve">口语化；改为正式的 </t>
    </r>
    <r>
      <rPr>
        <sz val="10"/>
        <rFont val="Arial"/>
        <family val="0"/>
        <charset val="1"/>
      </rPr>
      <t xml:space="preserve">access </t>
    </r>
    <r>
      <rPr>
        <sz val="10"/>
        <rFont val="WenQuanYi Zen Hei"/>
        <family val="2"/>
      </rPr>
      <t xml:space="preserve">与 </t>
    </r>
    <r>
      <rPr>
        <sz val="10"/>
        <rFont val="Arial"/>
        <family val="0"/>
        <charset val="1"/>
      </rPr>
      <t xml:space="preserve">use </t>
    </r>
    <r>
      <rPr>
        <sz val="10"/>
        <rFont val="WenQuanYi Zen Hei"/>
        <family val="2"/>
      </rPr>
      <t xml:space="preserve">定义句</t>
    </r>
  </si>
  <si>
    <t xml:space="preserve">F01, F07</t>
  </si>
  <si>
    <t xml:space="preserve">D08</t>
  </si>
  <si>
    <t xml:space="preserve">"So the very first barrier newcomers families can run into happens before they even use any service, they simply don't know what's out there."</t>
  </si>
  <si>
    <t xml:space="preserve">与新论点相反：家庭知道有服务，但不知道如何用</t>
  </si>
  <si>
    <r>
      <rPr>
        <sz val="10"/>
        <rFont val="Arial"/>
        <family val="0"/>
        <charset val="1"/>
      </rPr>
      <t xml:space="preserve">F07 (</t>
    </r>
    <r>
      <rPr>
        <sz val="10"/>
        <rFont val="WenQuanYi Zen Hei"/>
        <family val="2"/>
      </rPr>
      <t xml:space="preserve">批注 </t>
    </r>
    <r>
      <rPr>
        <sz val="10"/>
        <rFont val="Arial"/>
        <family val="0"/>
        <charset val="1"/>
      </rPr>
      <t xml:space="preserve">#1)</t>
    </r>
  </si>
  <si>
    <t xml:space="preserve">D09</t>
  </si>
  <si>
    <t xml:space="preserve">"Now, Burns et al. didn't look at newcomer families separately, but Heinz et al. (2025) found the exact same pattern in a totally different system. New Mexico offers subsidies..."</t>
  </si>
  <si>
    <r>
      <rPr>
        <sz val="10"/>
        <rFont val="WenQuanYi Zen Hei"/>
        <family val="2"/>
      </rPr>
      <t xml:space="preserve">口语；点名州；把 </t>
    </r>
    <r>
      <rPr>
        <sz val="10"/>
        <rFont val="Arial"/>
        <family val="0"/>
        <charset val="1"/>
      </rPr>
      <t xml:space="preserve">Heinz, Nava (400% FPL</t>
    </r>
    <r>
      <rPr>
        <sz val="10"/>
        <rFont val="WenQuanYi Zen Hei"/>
        <family val="2"/>
      </rPr>
      <t xml:space="preserve">、无等候名单，</t>
    </r>
    <r>
      <rPr>
        <sz val="10"/>
        <rFont val="Arial"/>
        <family val="0"/>
        <charset val="1"/>
      </rPr>
      <t xml:space="preserve">p. 2) </t>
    </r>
    <r>
      <rPr>
        <sz val="10"/>
        <rFont val="WenQuanYi Zen Hei"/>
        <family val="2"/>
      </rPr>
      <t xml:space="preserve">和 </t>
    </r>
    <r>
      <rPr>
        <sz val="10"/>
        <rFont val="Arial"/>
        <family val="0"/>
        <charset val="1"/>
      </rPr>
      <t xml:space="preserve">Heinz, Bell (</t>
    </r>
    <r>
      <rPr>
        <sz val="10"/>
        <rFont val="WenQuanYi Zen Hei"/>
        <family val="2"/>
      </rPr>
      <t xml:space="preserve">移民、难民、西语家长不知道自己合格，</t>
    </r>
    <r>
      <rPr>
        <sz val="10"/>
        <rFont val="Arial"/>
        <family val="0"/>
        <charset val="1"/>
      </rPr>
      <t xml:space="preserve">pp. 398, 400) </t>
    </r>
    <r>
      <rPr>
        <sz val="10"/>
        <rFont val="WenQuanYi Zen Hei"/>
        <family val="2"/>
      </rPr>
      <t xml:space="preserve">混成一个引用</t>
    </r>
  </si>
  <si>
    <r>
      <rPr>
        <sz val="10"/>
        <rFont val="Arial"/>
        <family val="0"/>
        <charset val="1"/>
      </rPr>
      <t xml:space="preserve">F01, F10, F23</t>
    </r>
    <r>
      <rPr>
        <sz val="10"/>
        <rFont val="WenQuanYi Zen Hei"/>
        <family val="2"/>
      </rPr>
      <t xml:space="preserve">；引用不符</t>
    </r>
  </si>
  <si>
    <t xml:space="preserve">D10</t>
  </si>
  <si>
    <t xml:space="preserve">"So putting these together, expanding a policy on its own doesn't automatically make parents aware of it."</t>
  </si>
  <si>
    <r>
      <rPr>
        <sz val="10"/>
        <rFont val="WenQuanYi Zen Hei"/>
        <family val="2"/>
      </rPr>
      <t xml:space="preserve">旧结论 </t>
    </r>
    <r>
      <rPr>
        <sz val="10"/>
        <rFont val="Arial"/>
        <family val="0"/>
        <charset val="1"/>
      </rPr>
      <t xml:space="preserve">(</t>
    </r>
    <r>
      <rPr>
        <sz val="10"/>
        <rFont val="WenQuanYi Zen Hei"/>
        <family val="2"/>
      </rPr>
      <t xml:space="preserve">政策扩张 ≠ 知晓</t>
    </r>
    <r>
      <rPr>
        <sz val="10"/>
        <rFont val="Arial"/>
        <family val="0"/>
        <charset val="1"/>
      </rPr>
      <t xml:space="preserve">)</t>
    </r>
    <r>
      <rPr>
        <sz val="10"/>
        <rFont val="WenQuanYi Zen Hei"/>
        <family val="2"/>
      </rPr>
      <t xml:space="preserve">，与新论点不连接</t>
    </r>
  </si>
  <si>
    <t xml:space="preserve">D11</t>
  </si>
  <si>
    <t xml:space="preserve">段落</t>
  </si>
  <si>
    <t xml:space="preserve">"Then there's a second group of studies looking at how institutions actually turn policy into services... Fakhari et al. (2025) provide the most direct Canadian evidence: ... licensing, funding, and workforce conditions..."</t>
  </si>
  <si>
    <r>
      <rPr>
        <sz val="10"/>
        <rFont val="WenQuanYi Zen Hei"/>
        <family val="2"/>
      </rPr>
      <t xml:space="preserve">机构执行层面；教授说 </t>
    </r>
    <r>
      <rPr>
        <sz val="10"/>
        <rFont val="Arial"/>
        <family val="0"/>
        <charset val="1"/>
      </rPr>
      <t xml:space="preserve">"this sentence does not connect with that thesis statement"</t>
    </r>
  </si>
  <si>
    <t xml:space="preserve">D12</t>
  </si>
  <si>
    <t xml:space="preserve">"Looking at it from inside ECEC settings, Papakosma (2026) interviewed 21 Swedish pre-school principals... So across all these different institutional settings... how much navigation parents are expected to do on their own."</t>
  </si>
  <si>
    <r>
      <rPr>
        <sz val="10"/>
        <rFont val="WenQuanYi Zen Hei"/>
        <family val="2"/>
      </rPr>
      <t xml:space="preserve">机构排斥分析，教授说 </t>
    </r>
    <r>
      <rPr>
        <sz val="10"/>
        <rFont val="Arial"/>
        <family val="0"/>
        <charset val="1"/>
      </rPr>
      <t xml:space="preserve">"This part doesn't connect anything to do with your research focus"</t>
    </r>
    <r>
      <rPr>
        <sz val="10"/>
        <rFont val="WenQuanYi Zen Hei"/>
        <family val="2"/>
      </rPr>
      <t xml:space="preserve">；含 </t>
    </r>
    <r>
      <rPr>
        <sz val="10"/>
        <rFont val="Arial"/>
        <family val="0"/>
        <charset val="1"/>
      </rPr>
      <t xml:space="preserve">navigation </t>
    </r>
    <r>
      <rPr>
        <sz val="10"/>
        <rFont val="WenQuanYi Zen Hei"/>
        <family val="2"/>
      </rPr>
      <t xml:space="preserve">一词</t>
    </r>
  </si>
  <si>
    <t xml:space="preserve">D13</t>
  </si>
  <si>
    <r>
      <rPr>
        <sz val="10"/>
        <rFont val="Arial"/>
        <family val="0"/>
        <charset val="1"/>
      </rPr>
      <t xml:space="preserve">Theme 1 </t>
    </r>
    <r>
      <rPr>
        <sz val="10"/>
        <rFont val="WenQuanYi Zen Hei"/>
        <family val="2"/>
      </rPr>
      <t xml:space="preserve">结尾</t>
    </r>
  </si>
  <si>
    <r>
      <rPr>
        <sz val="10"/>
        <rFont val="Arial"/>
        <family val="0"/>
        <charset val="1"/>
      </rPr>
      <t xml:space="preserve">"So taken together, these studies trace a kind of sequence..." </t>
    </r>
    <r>
      <rPr>
        <sz val="10"/>
        <rFont val="WenQuanYi Zen Hei"/>
        <family val="2"/>
      </rPr>
      <t xml:space="preserve">以及 </t>
    </r>
    <r>
      <rPr>
        <sz val="10"/>
        <rFont val="Arial"/>
        <family val="0"/>
        <charset val="1"/>
      </rPr>
      <t xml:space="preserve">"Together, the studies suggest that policy's reach depends on institutional funding and staffing..."</t>
    </r>
  </si>
  <si>
    <t xml:space="preserve">旧的“政策到达”逻辑</t>
  </si>
  <si>
    <t xml:space="preserve">D14</t>
  </si>
  <si>
    <r>
      <rPr>
        <sz val="10"/>
        <rFont val="Arial"/>
        <family val="0"/>
        <charset val="1"/>
      </rPr>
      <t xml:space="preserve">"However, unstable housing, employment, and legal status can also limit participation... (Papakosma, 2026, p. 7)" </t>
    </r>
    <r>
      <rPr>
        <sz val="10"/>
        <rFont val="WenQuanYi Zen Hei"/>
        <family val="2"/>
      </rPr>
      <t xml:space="preserve">以及孤立句 </t>
    </r>
    <r>
      <rPr>
        <sz val="10"/>
        <rFont val="Arial"/>
        <family val="0"/>
        <charset val="1"/>
      </rPr>
      <t xml:space="preserve">"Policy changes also require clear information."</t>
    </r>
  </si>
  <si>
    <t xml:space="preserve">不服务“中介支持”这一点；孤立句没有来源</t>
  </si>
  <si>
    <t xml:space="preserve">F18, F26</t>
  </si>
  <si>
    <t xml:space="preserve">D15</t>
  </si>
  <si>
    <t xml:space="preserve">段落框架</t>
  </si>
  <si>
    <r>
      <rPr>
        <sz val="10"/>
        <rFont val="WenQuanYi Zen Hei"/>
        <family val="2"/>
      </rPr>
      <t xml:space="preserve">旧 </t>
    </r>
    <r>
      <rPr>
        <sz val="10"/>
        <rFont val="Arial"/>
        <family val="0"/>
        <charset val="1"/>
      </rPr>
      <t xml:space="preserve">Theme 2 </t>
    </r>
    <r>
      <rPr>
        <sz val="10"/>
        <rFont val="WenQuanYi Zen Hei"/>
        <family val="2"/>
      </rPr>
      <t xml:space="preserve">标题与论证线</t>
    </r>
  </si>
  <si>
    <r>
      <rPr>
        <sz val="10"/>
        <rFont val="Arial"/>
        <family val="0"/>
        <charset val="1"/>
      </rPr>
      <t xml:space="preserve">"Finding, Applying for, and Using Services: Families' Efforts and Difficulties"</t>
    </r>
    <r>
      <rPr>
        <sz val="10"/>
        <rFont val="WenQuanYi Zen Hei"/>
        <family val="2"/>
      </rPr>
      <t xml:space="preserve">；</t>
    </r>
    <r>
      <rPr>
        <sz val="10"/>
        <rFont val="Arial"/>
        <family val="0"/>
        <charset val="1"/>
      </rPr>
      <t xml:space="preserve">"And that comparison warns us against reading difficulty accessing services as families are not trying hard enough."</t>
    </r>
  </si>
  <si>
    <r>
      <rPr>
        <sz val="10"/>
        <rFont val="Arial"/>
        <family val="0"/>
        <charset val="1"/>
      </rPr>
      <t xml:space="preserve">"family effort" </t>
    </r>
    <r>
      <rPr>
        <sz val="10"/>
        <rFont val="WenQuanYi Zen Hei"/>
        <family val="2"/>
      </rPr>
      <t xml:space="preserve">是本项目限制用的总括词；教授把这部分归入“支持”</t>
    </r>
  </si>
  <si>
    <t xml:space="preserve">D16</t>
  </si>
  <si>
    <r>
      <rPr>
        <sz val="10"/>
        <rFont val="WenQuanYi Zen Hei"/>
        <family val="2"/>
      </rPr>
      <t xml:space="preserve">句子 </t>
    </r>
    <r>
      <rPr>
        <sz val="10"/>
        <rFont val="Arial"/>
        <family val="0"/>
        <charset val="1"/>
      </rPr>
      <t xml:space="preserve">(</t>
    </r>
    <r>
      <rPr>
        <sz val="10"/>
        <rFont val="WenQuanYi Zen Hei"/>
        <family val="2"/>
      </rPr>
      <t xml:space="preserve">改写后可移位</t>
    </r>
    <r>
      <rPr>
        <sz val="10"/>
        <rFont val="Arial"/>
        <family val="0"/>
        <charset val="1"/>
      </rPr>
      <t xml:space="preserve">)</t>
    </r>
  </si>
  <si>
    <r>
      <rPr>
        <sz val="10"/>
        <rFont val="WenQuanYi Zen Hei"/>
        <family val="2"/>
      </rPr>
      <t xml:space="preserve">旧 </t>
    </r>
    <r>
      <rPr>
        <sz val="10"/>
        <rFont val="Arial"/>
        <family val="0"/>
        <charset val="1"/>
      </rPr>
      <t xml:space="preserve">Theme 2</t>
    </r>
  </si>
  <si>
    <t xml:space="preserve">"Ajayi et al. (2026) show what Black parents in two Ontario cities — 25 parents — are pushing back against..."</t>
  </si>
  <si>
    <r>
      <rPr>
        <sz val="10"/>
        <rFont val="WenQuanYi Zen Hei"/>
        <family val="2"/>
      </rPr>
      <t xml:space="preserve">口语；样本是黑人家长，是否包含新移民未核；读全文后可移到 </t>
    </r>
    <r>
      <rPr>
        <sz val="10"/>
        <rFont val="Arial"/>
        <family val="0"/>
        <charset val="1"/>
      </rPr>
      <t xml:space="preserve">Theme 1 (</t>
    </r>
    <r>
      <rPr>
        <sz val="10"/>
        <rFont val="WenQuanYi Zen Hei"/>
        <family val="2"/>
      </rPr>
      <t xml:space="preserve">信息</t>
    </r>
    <r>
      <rPr>
        <sz val="10"/>
        <rFont val="Arial"/>
        <family val="0"/>
        <charset val="1"/>
      </rPr>
      <t xml:space="preserve">) </t>
    </r>
    <r>
      <rPr>
        <sz val="10"/>
        <rFont val="WenQuanYi Zen Hei"/>
        <family val="2"/>
      </rPr>
      <t xml:space="preserve">或 </t>
    </r>
    <r>
      <rPr>
        <sz val="10"/>
        <rFont val="Arial"/>
        <family val="0"/>
        <charset val="1"/>
      </rPr>
      <t xml:space="preserve">Theme 3 (</t>
    </r>
    <r>
      <rPr>
        <sz val="10"/>
        <rFont val="WenQuanYi Zen Hei"/>
        <family val="2"/>
      </rPr>
      <t xml:space="preserve">文化不敏感</t>
    </r>
    <r>
      <rPr>
        <sz val="10"/>
        <rFont val="Arial"/>
        <family val="0"/>
        <charset val="1"/>
      </rPr>
      <t xml:space="preserve">)</t>
    </r>
  </si>
  <si>
    <t xml:space="preserve">F01, F24</t>
  </si>
  <si>
    <t xml:space="preserve">D17</t>
  </si>
  <si>
    <r>
      <rPr>
        <sz val="10"/>
        <rFont val="WenQuanYi Zen Hei"/>
        <family val="2"/>
      </rPr>
      <t xml:space="preserve">段落 </t>
    </r>
    <r>
      <rPr>
        <sz val="10"/>
        <rFont val="Arial"/>
        <family val="0"/>
        <charset val="1"/>
      </rPr>
      <t xml:space="preserve">(</t>
    </r>
    <r>
      <rPr>
        <sz val="10"/>
        <rFont val="WenQuanYi Zen Hei"/>
        <family val="2"/>
      </rPr>
      <t xml:space="preserve">拆分</t>
    </r>
    <r>
      <rPr>
        <sz val="10"/>
        <rFont val="Arial"/>
        <family val="0"/>
        <charset val="1"/>
      </rPr>
      <t xml:space="preserve">)</t>
    </r>
  </si>
  <si>
    <r>
      <rPr>
        <sz val="10"/>
        <rFont val="WenQuanYi Zen Hei"/>
        <family val="2"/>
      </rPr>
      <t xml:space="preserve">旧 </t>
    </r>
    <r>
      <rPr>
        <sz val="10"/>
        <rFont val="Arial"/>
        <family val="0"/>
        <charset val="1"/>
      </rPr>
      <t xml:space="preserve">Theme 3 "How Educators and Service Providers Support Family Access"</t>
    </r>
  </si>
  <si>
    <r>
      <rPr>
        <sz val="10"/>
        <rFont val="Arial"/>
        <family val="0"/>
        <charset val="1"/>
      </rPr>
      <t xml:space="preserve">Lund </t>
    </r>
    <r>
      <rPr>
        <sz val="10"/>
        <rFont val="WenQuanYi Zen Hei"/>
        <family val="2"/>
      </rPr>
      <t xml:space="preserve">的 </t>
    </r>
    <r>
      <rPr>
        <sz val="10"/>
        <rFont val="Arial"/>
        <family val="0"/>
        <charset val="1"/>
      </rPr>
      <t xml:space="preserve">trust </t>
    </r>
    <r>
      <rPr>
        <sz val="10"/>
        <rFont val="WenQuanYi Zen Hei"/>
        <family val="2"/>
      </rPr>
      <t xml:space="preserve">与 </t>
    </r>
    <r>
      <rPr>
        <sz val="10"/>
        <rFont val="Arial"/>
        <family val="0"/>
        <charset val="1"/>
      </rPr>
      <t xml:space="preserve">"Norwegianness"</t>
    </r>
    <r>
      <rPr>
        <sz val="10"/>
        <rFont val="WenQuanYi Zen Hei"/>
        <family val="2"/>
      </rPr>
      <t xml:space="preserve">、</t>
    </r>
    <r>
      <rPr>
        <sz val="10"/>
        <rFont val="Arial"/>
        <family val="0"/>
        <charset val="1"/>
      </rPr>
      <t xml:space="preserve">"trust alone doesn't guarantee equal partners"</t>
    </r>
    <r>
      <rPr>
        <sz val="10"/>
        <rFont val="WenQuanYi Zen Hei"/>
        <family val="2"/>
      </rPr>
      <t xml:space="preserve">、</t>
    </r>
    <r>
      <rPr>
        <sz val="10"/>
        <rFont val="Arial"/>
        <family val="0"/>
        <charset val="1"/>
      </rPr>
      <t xml:space="preserve">Bhattashali</t>
    </r>
    <r>
      <rPr>
        <sz val="10"/>
        <rFont val="WenQuanYi Zen Hei"/>
        <family val="2"/>
      </rPr>
      <t xml:space="preserve">、</t>
    </r>
    <r>
      <rPr>
        <sz val="10"/>
        <rFont val="Arial"/>
        <family val="0"/>
        <charset val="1"/>
      </rPr>
      <t xml:space="preserve">"studies of professional support also look at different stages..."</t>
    </r>
  </si>
  <si>
    <r>
      <rPr>
        <sz val="10"/>
        <rFont val="WenQuanYi Zen Hei"/>
        <family val="2"/>
      </rPr>
      <t xml:space="preserve">逐篇介绍，国家名多。保留 </t>
    </r>
    <r>
      <rPr>
        <sz val="10"/>
        <rFont val="Arial"/>
        <family val="0"/>
        <charset val="1"/>
      </rPr>
      <t xml:space="preserve">Schwartz p. 10 (</t>
    </r>
    <r>
      <rPr>
        <sz val="10"/>
        <rFont val="WenQuanYi Zen Hei"/>
        <family val="2"/>
      </rPr>
      <t xml:space="preserve">移到 </t>
    </r>
    <r>
      <rPr>
        <sz val="10"/>
        <rFont val="Arial"/>
        <family val="0"/>
        <charset val="1"/>
      </rPr>
      <t xml:space="preserve">Theme 2) </t>
    </r>
    <r>
      <rPr>
        <sz val="10"/>
        <rFont val="WenQuanYi Zen Hei"/>
        <family val="2"/>
      </rPr>
      <t xml:space="preserve">和 </t>
    </r>
    <r>
      <rPr>
        <sz val="10"/>
        <rFont val="Arial"/>
        <family val="0"/>
        <charset val="1"/>
      </rPr>
      <t xml:space="preserve">Lund 2024 pp. 7–8 (Theme 2/3)</t>
    </r>
    <r>
      <rPr>
        <sz val="10"/>
        <rFont val="WenQuanYi Zen Hei"/>
        <family val="2"/>
      </rPr>
      <t xml:space="preserve">，其余删除；“只看单一阶段”移到结论缺口</t>
    </r>
  </si>
  <si>
    <r>
      <rPr>
        <sz val="10"/>
        <rFont val="Arial"/>
        <family val="0"/>
        <charset val="1"/>
      </rPr>
      <t xml:space="preserve">F21, F23, </t>
    </r>
    <r>
      <rPr>
        <sz val="10"/>
        <rFont val="WenQuanYi Zen Hei"/>
        <family val="2"/>
      </rPr>
      <t xml:space="preserve">批注 </t>
    </r>
    <r>
      <rPr>
        <sz val="10"/>
        <rFont val="Arial"/>
        <family val="0"/>
        <charset val="1"/>
      </rPr>
      <t xml:space="preserve">#5</t>
    </r>
  </si>
  <si>
    <t xml:space="preserve">D18</t>
  </si>
  <si>
    <r>
      <rPr>
        <sz val="10"/>
        <rFont val="Arial"/>
        <family val="0"/>
        <charset val="1"/>
      </rPr>
      <t xml:space="preserve">"Newcomer parents evaluate early childhood services..."</t>
    </r>
    <r>
      <rPr>
        <sz val="10"/>
        <rFont val="WenQuanYi Zen Hei"/>
        <family val="2"/>
      </rPr>
      <t xml:space="preserve">；监控摄像头例子 </t>
    </r>
    <r>
      <rPr>
        <sz val="10"/>
        <rFont val="Arial"/>
        <family val="0"/>
        <charset val="1"/>
      </rPr>
      <t xml:space="preserve">(Lund, 2024, p. 9)</t>
    </r>
    <r>
      <rPr>
        <sz val="10"/>
        <rFont val="WenQuanYi Zen Hei"/>
        <family val="2"/>
      </rPr>
      <t xml:space="preserve">；</t>
    </r>
    <r>
      <rPr>
        <sz val="10"/>
        <rFont val="Arial"/>
        <family val="0"/>
        <charset val="1"/>
      </rPr>
      <t xml:space="preserve">"These needs, however, may remain unspoken"</t>
    </r>
    <r>
      <rPr>
        <sz val="10"/>
        <rFont val="WenQuanYi Zen Hei"/>
        <family val="2"/>
      </rPr>
      <t xml:space="preserve">；以色列父亲避免分歧；</t>
    </r>
    <r>
      <rPr>
        <sz val="10"/>
        <rFont val="Arial"/>
        <family val="0"/>
        <charset val="1"/>
      </rPr>
      <t xml:space="preserve">"Expressing few objections..."</t>
    </r>
    <r>
      <rPr>
        <sz val="10"/>
        <rFont val="WenQuanYi Zen Hei"/>
        <family val="2"/>
      </rPr>
      <t xml:space="preserve">；美国父亲睡眠例子 </t>
    </r>
    <r>
      <rPr>
        <sz val="10"/>
        <rFont val="Arial"/>
        <family val="0"/>
        <charset val="1"/>
      </rPr>
      <t xml:space="preserve">(Lund, 2026, pp. 10–11)</t>
    </r>
  </si>
  <si>
    <r>
      <rPr>
        <sz val="10"/>
        <rFont val="WenQuanYi Zen Hei"/>
        <family val="2"/>
      </rPr>
      <t xml:space="preserve">教授：</t>
    </r>
    <r>
      <rPr>
        <sz val="10"/>
        <rFont val="Arial"/>
        <family val="0"/>
        <charset val="1"/>
      </rPr>
      <t xml:space="preserve">"you're talking about evaluation, but your research problem isn't about evaluation"</t>
    </r>
  </si>
  <si>
    <t xml:space="preserve">D19</t>
  </si>
  <si>
    <r>
      <rPr>
        <sz val="10"/>
        <rFont val="Arial"/>
        <family val="0"/>
        <charset val="1"/>
      </rPr>
      <t xml:space="preserve">"Three findings emerge..." </t>
    </r>
    <r>
      <rPr>
        <sz val="10"/>
        <rFont val="WenQuanYi Zen Hei"/>
        <family val="2"/>
      </rPr>
      <t xml:space="preserve">与 </t>
    </r>
    <r>
      <rPr>
        <sz val="10"/>
        <rFont val="Arial"/>
        <family val="0"/>
        <charset val="1"/>
      </rPr>
      <t xml:space="preserve">"So three main findings come out..." </t>
    </r>
    <r>
      <rPr>
        <sz val="10"/>
        <rFont val="WenQuanYi Zen Hei"/>
        <family val="2"/>
      </rPr>
      <t xml:space="preserve">两版；</t>
    </r>
    <r>
      <rPr>
        <sz val="10"/>
        <rFont val="Arial"/>
        <family val="0"/>
        <charset val="1"/>
      </rPr>
      <t xml:space="preserve">"Difficulties arise both before and after families enter services..." </t>
    </r>
    <r>
      <rPr>
        <sz val="10"/>
        <rFont val="WenQuanYi Zen Hei"/>
        <family val="2"/>
      </rPr>
      <t xml:space="preserve">一段</t>
    </r>
  </si>
  <si>
    <t xml:space="preserve">旧主题；重复；教授要求重写</t>
  </si>
  <si>
    <t xml:space="preserve">D20</t>
  </si>
  <si>
    <t xml:space="preserve">重复版本</t>
  </si>
  <si>
    <t xml:space="preserve">Purpose / RQ / Reflection</t>
  </si>
  <si>
    <r>
      <rPr>
        <sz val="10"/>
        <rFont val="Arial"/>
        <family val="0"/>
        <charset val="1"/>
      </rPr>
      <t xml:space="preserve">"Revised Research Purpose" </t>
    </r>
    <r>
      <rPr>
        <sz val="10"/>
        <rFont val="WenQuanYi Zen Hei"/>
        <family val="2"/>
      </rPr>
      <t xml:space="preserve">两版；</t>
    </r>
    <r>
      <rPr>
        <sz val="10"/>
        <rFont val="Arial"/>
        <family val="0"/>
        <charset val="1"/>
      </rPr>
      <t xml:space="preserve">Central question </t>
    </r>
    <r>
      <rPr>
        <sz val="10"/>
        <rFont val="WenQuanYi Zen Hei"/>
        <family val="2"/>
      </rPr>
      <t xml:space="preserve">两版；</t>
    </r>
    <r>
      <rPr>
        <sz val="10"/>
        <rFont val="Arial"/>
        <family val="0"/>
        <charset val="1"/>
      </rPr>
      <t xml:space="preserve">SQ1</t>
    </r>
    <r>
      <rPr>
        <sz val="10"/>
        <rFont val="WenQuanYi Zen Hei"/>
        <family val="2"/>
      </rPr>
      <t xml:space="preserve">、</t>
    </r>
    <r>
      <rPr>
        <sz val="10"/>
        <rFont val="Arial"/>
        <family val="0"/>
        <charset val="1"/>
      </rPr>
      <t xml:space="preserve">SQ2 </t>
    </r>
    <r>
      <rPr>
        <sz val="10"/>
        <rFont val="WenQuanYi Zen Hei"/>
        <family val="2"/>
      </rPr>
      <t xml:space="preserve">各两版；</t>
    </r>
    <r>
      <rPr>
        <sz val="10"/>
        <rFont val="Arial"/>
        <family val="0"/>
        <charset val="1"/>
      </rPr>
      <t xml:space="preserve">Reflection </t>
    </r>
    <r>
      <rPr>
        <sz val="10"/>
        <rFont val="WenQuanYi Zen Hei"/>
        <family val="2"/>
      </rPr>
      <t xml:space="preserve">两版</t>
    </r>
  </si>
  <si>
    <t xml:space="preserve">每部分只留一个最终版</t>
  </si>
  <si>
    <t xml:space="preserve">D21</t>
  </si>
  <si>
    <t xml:space="preserve">清理</t>
  </si>
  <si>
    <t xml:space="preserve">文档开头与标签</t>
  </si>
  <si>
    <r>
      <rPr>
        <sz val="10"/>
        <rFont val="Arial"/>
        <family val="0"/>
        <charset val="1"/>
      </rPr>
      <t xml:space="preserve">Q1–Q3 office hour </t>
    </r>
    <r>
      <rPr>
        <sz val="10"/>
        <rFont val="WenQuanYi Zen Hei"/>
        <family val="2"/>
      </rPr>
      <t xml:space="preserve">笔记、</t>
    </r>
    <r>
      <rPr>
        <sz val="10"/>
        <rFont val="Arial"/>
        <family val="0"/>
        <charset val="1"/>
      </rPr>
      <t xml:space="preserve">"Week5 Office Hours"</t>
    </r>
    <r>
      <rPr>
        <sz val="10"/>
        <rFont val="WenQuanYi Zen Hei"/>
        <family val="2"/>
      </rPr>
      <t xml:space="preserve">、</t>
    </r>
    <r>
      <rPr>
        <sz val="10"/>
        <rFont val="Arial"/>
        <family val="0"/>
        <charset val="1"/>
      </rPr>
      <t xml:space="preserve">"(new section in final version)"</t>
    </r>
    <r>
      <rPr>
        <sz val="10"/>
        <rFont val="WenQuanYi Zen Hei"/>
        <family val="2"/>
      </rPr>
      <t xml:space="preserve">、</t>
    </r>
    <r>
      <rPr>
        <sz val="10"/>
        <rFont val="Arial"/>
        <family val="0"/>
        <charset val="1"/>
      </rPr>
      <t xml:space="preserve">"Revised" </t>
    </r>
    <r>
      <rPr>
        <sz val="10"/>
        <rFont val="WenQuanYi Zen Hei"/>
        <family val="2"/>
      </rPr>
      <t xml:space="preserve">字样、</t>
    </r>
    <r>
      <rPr>
        <sz val="10"/>
        <rFont val="Arial"/>
        <family val="0"/>
        <charset val="1"/>
      </rPr>
      <t xml:space="preserve">"17 sources in total..."</t>
    </r>
  </si>
  <si>
    <t xml:space="preserve">提交版不能有草稿笔记</t>
  </si>
  <si>
    <t xml:space="preserve">D22</t>
  </si>
  <si>
    <t xml:space="preserve">全文替换</t>
  </si>
  <si>
    <t xml:space="preserve">国家名和州名</t>
  </si>
  <si>
    <r>
      <rPr>
        <sz val="10"/>
        <rFont val="Arial"/>
        <family val="0"/>
        <charset val="1"/>
      </rPr>
      <t xml:space="preserve">Norway / Norwegian</t>
    </r>
    <r>
      <rPr>
        <sz val="10"/>
        <rFont val="WenQuanYi Zen Hei"/>
        <family val="2"/>
      </rPr>
      <t xml:space="preserve">、</t>
    </r>
    <r>
      <rPr>
        <sz val="10"/>
        <rFont val="Arial"/>
        <family val="0"/>
        <charset val="1"/>
      </rPr>
      <t xml:space="preserve">Israel / Israeli</t>
    </r>
    <r>
      <rPr>
        <sz val="10"/>
        <rFont val="WenQuanYi Zen Hei"/>
        <family val="2"/>
      </rPr>
      <t xml:space="preserve">、</t>
    </r>
    <r>
      <rPr>
        <sz val="10"/>
        <rFont val="Arial"/>
        <family val="0"/>
        <charset val="1"/>
      </rPr>
      <t xml:space="preserve">Czech / Ukrainian</t>
    </r>
    <r>
      <rPr>
        <sz val="10"/>
        <rFont val="WenQuanYi Zen Hei"/>
        <family val="2"/>
      </rPr>
      <t xml:space="preserve">、</t>
    </r>
    <r>
      <rPr>
        <sz val="10"/>
        <rFont val="Arial"/>
        <family val="0"/>
        <charset val="1"/>
      </rPr>
      <t xml:space="preserve">Swedish</t>
    </r>
    <r>
      <rPr>
        <sz val="10"/>
        <rFont val="WenQuanYi Zen Hei"/>
        <family val="2"/>
      </rPr>
      <t xml:space="preserve">、</t>
    </r>
    <r>
      <rPr>
        <sz val="10"/>
        <rFont val="Arial"/>
        <family val="0"/>
        <charset val="1"/>
      </rPr>
      <t xml:space="preserve">New Mexico</t>
    </r>
    <r>
      <rPr>
        <sz val="10"/>
        <rFont val="WenQuanYi Zen Hei"/>
        <family val="2"/>
      </rPr>
      <t xml:space="preserve">、</t>
    </r>
    <r>
      <rPr>
        <sz val="10"/>
        <rFont val="Arial"/>
        <family val="0"/>
        <charset val="1"/>
      </rPr>
      <t xml:space="preserve">Dutch</t>
    </r>
    <r>
      <rPr>
        <sz val="10"/>
        <rFont val="WenQuanYi Zen Hei"/>
        <family val="2"/>
      </rPr>
      <t xml:space="preserve">、</t>
    </r>
    <r>
      <rPr>
        <sz val="10"/>
        <rFont val="Arial"/>
        <family val="0"/>
        <charset val="1"/>
      </rPr>
      <t xml:space="preserve">U.S. Midwestern</t>
    </r>
  </si>
  <si>
    <r>
      <rPr>
        <sz val="10"/>
        <rFont val="WenQuanYi Zen Hei"/>
        <family val="2"/>
      </rPr>
      <t xml:space="preserve">改成不点名，或写 </t>
    </r>
    <r>
      <rPr>
        <sz val="10"/>
        <rFont val="Arial"/>
        <family val="0"/>
        <charset val="1"/>
      </rPr>
      <t xml:space="preserve">"studies with refugee families in other countries"</t>
    </r>
    <r>
      <rPr>
        <sz val="10"/>
        <rFont val="WenQuanYi Zen Hei"/>
        <family val="2"/>
      </rPr>
      <t xml:space="preserve">；加拿大地名可以保留</t>
    </r>
  </si>
  <si>
    <r>
      <rPr>
        <sz val="10"/>
        <rFont val="Arial"/>
        <family val="0"/>
        <charset val="1"/>
      </rPr>
      <t xml:space="preserve">F23 (</t>
    </r>
    <r>
      <rPr>
        <sz val="10"/>
        <rFont val="WenQuanYi Zen Hei"/>
        <family val="2"/>
      </rPr>
      <t xml:space="preserve">批注 </t>
    </r>
    <r>
      <rPr>
        <sz val="10"/>
        <rFont val="Arial"/>
        <family val="0"/>
        <charset val="1"/>
      </rPr>
      <t xml:space="preserve">#5)</t>
    </r>
  </si>
  <si>
    <r>
      <rPr>
        <b val="true"/>
        <sz val="10"/>
        <color rgb="FFFFFFFF"/>
        <rFont val="Arial"/>
        <family val="0"/>
        <charset val="1"/>
      </rPr>
      <t xml:space="preserve">APA 7 </t>
    </r>
    <r>
      <rPr>
        <b val="true"/>
        <sz val="10"/>
        <color rgb="FFFFFFFF"/>
        <rFont val="WenQuanYi Zen Hei"/>
        <family val="2"/>
      </rPr>
      <t xml:space="preserve">参考文献 </t>
    </r>
    <r>
      <rPr>
        <b val="true"/>
        <sz val="10"/>
        <color rgb="FFFFFFFF"/>
        <rFont val="Arial"/>
        <family val="0"/>
        <charset val="1"/>
      </rPr>
      <t xml:space="preserve">(</t>
    </r>
    <r>
      <rPr>
        <b val="true"/>
        <sz val="10"/>
        <color rgb="FFFFFFFF"/>
        <rFont val="WenQuanYi Zen Hei"/>
        <family val="2"/>
      </rPr>
      <t xml:space="preserve">未核部分标 </t>
    </r>
    <r>
      <rPr>
        <b val="true"/>
        <sz val="10"/>
        <color rgb="FFFFFFFF"/>
        <rFont val="Arial"/>
        <family val="0"/>
        <charset val="1"/>
      </rPr>
      <t xml:space="preserve">NOT VERIFIED)</t>
    </r>
  </si>
  <si>
    <r>
      <rPr>
        <b val="true"/>
        <sz val="10"/>
        <color rgb="FFFFFFFF"/>
        <rFont val="WenQuanYi Zen Hei"/>
        <family val="2"/>
      </rPr>
      <t xml:space="preserve">国家 </t>
    </r>
    <r>
      <rPr>
        <b val="true"/>
        <sz val="10"/>
        <color rgb="FFFFFFFF"/>
        <rFont val="Arial"/>
        <family val="0"/>
        <charset val="1"/>
      </rPr>
      <t xml:space="preserve">/ </t>
    </r>
    <r>
      <rPr>
        <b val="true"/>
        <sz val="10"/>
        <color rgb="FFFFFFFF"/>
        <rFont val="WenQuanYi Zen Hei"/>
        <family val="2"/>
      </rPr>
      <t xml:space="preserve">城市</t>
    </r>
  </si>
  <si>
    <t xml:space="preserve">建议放置位置</t>
  </si>
  <si>
    <r>
      <rPr>
        <b val="true"/>
        <sz val="10"/>
        <color rgb="FFFFFFFF"/>
        <rFont val="WenQuanYi Zen Hei"/>
        <family val="2"/>
      </rPr>
      <t xml:space="preserve">支持什么 </t>
    </r>
    <r>
      <rPr>
        <b val="true"/>
        <sz val="10"/>
        <color rgb="FFFFFFFF"/>
        <rFont val="Arial"/>
        <family val="0"/>
        <charset val="1"/>
      </rPr>
      <t xml:space="preserve">(</t>
    </r>
    <r>
      <rPr>
        <b val="true"/>
        <sz val="10"/>
        <color rgb="FFFFFFFF"/>
        <rFont val="WenQuanYi Zen Hei"/>
        <family val="2"/>
      </rPr>
      <t xml:space="preserve">具体用法</t>
    </r>
    <r>
      <rPr>
        <b val="true"/>
        <sz val="10"/>
        <color rgb="FFFFFFFF"/>
        <rFont val="Arial"/>
        <family val="0"/>
        <charset val="1"/>
      </rPr>
      <t xml:space="preserve">)</t>
    </r>
  </si>
  <si>
    <t xml:space="preserve">核验程度</t>
  </si>
  <si>
    <t xml:space="preserve">交稿前必须补核</t>
  </si>
  <si>
    <r>
      <rPr>
        <b val="true"/>
        <sz val="10"/>
        <color rgb="FFFFFFFF"/>
        <rFont val="WenQuanYi Zen Hei"/>
        <family val="2"/>
      </rPr>
      <t xml:space="preserve">开放获取 </t>
    </r>
    <r>
      <rPr>
        <b val="true"/>
        <sz val="10"/>
        <color rgb="FFFFFFFF"/>
        <rFont val="Arial"/>
        <family val="0"/>
        <charset val="1"/>
      </rPr>
      <t xml:space="preserve">/ </t>
    </r>
    <r>
      <rPr>
        <b val="true"/>
        <sz val="10"/>
        <color rgb="FFFFFFFF"/>
        <rFont val="WenQuanYi Zen Hei"/>
        <family val="2"/>
      </rPr>
      <t xml:space="preserve">链接</t>
    </r>
  </si>
  <si>
    <t xml:space="preserve">线索来源</t>
  </si>
  <si>
    <r>
      <rPr>
        <b val="true"/>
        <sz val="10"/>
        <color rgb="FFFFFFFF"/>
        <rFont val="WenQuanYi Zen Hei"/>
        <family val="2"/>
      </rPr>
      <t xml:space="preserve">计划采用</t>
    </r>
    <r>
      <rPr>
        <b val="true"/>
        <sz val="10"/>
        <color rgb="FFFFFFFF"/>
        <rFont val="Arial"/>
        <family val="0"/>
        <charset val="1"/>
      </rPr>
      <t xml:space="preserve">? (</t>
    </r>
    <r>
      <rPr>
        <b val="true"/>
        <sz val="10"/>
        <color rgb="FFFFFFFF"/>
        <rFont val="WenQuanYi Zen Hei"/>
        <family val="2"/>
      </rPr>
      <t xml:space="preserve">须先读全文</t>
    </r>
    <r>
      <rPr>
        <b val="true"/>
        <sz val="10"/>
        <color rgb="FFFFFFFF"/>
        <rFont val="Arial"/>
        <family val="0"/>
        <charset val="1"/>
      </rPr>
      <t xml:space="preserve">)</t>
    </r>
  </si>
  <si>
    <t xml:space="preserve">N01</t>
  </si>
  <si>
    <r>
      <rPr>
        <sz val="10"/>
        <rFont val="Arial"/>
        <family val="0"/>
        <charset val="1"/>
      </rPr>
      <t xml:space="preserve">A </t>
    </r>
    <r>
      <rPr>
        <sz val="10"/>
        <rFont val="WenQuanYi Zen Hei"/>
        <family val="2"/>
      </rPr>
      <t xml:space="preserve">强烈建议</t>
    </r>
  </si>
  <si>
    <t xml:space="preserve">Brown, A., McIsaac, J.-L. D., Reddington, S., Hill, T., Brigham, S., Spencer, R., &amp; Mandrona, A. (2020). Newcomer families' experiences with programs and services to support early childhood development in Canada: A scoping review. Journal of Childhood, Education &amp; Society, 1(2), 182–215. https://doi.org/10.37291/2717638X.20201249</t>
  </si>
  <si>
    <r>
      <rPr>
        <sz val="10"/>
        <rFont val="WenQuanYi Zen Hei"/>
        <family val="2"/>
      </rPr>
      <t xml:space="preserve">加拿大 </t>
    </r>
    <r>
      <rPr>
        <sz val="10"/>
        <rFont val="Arial"/>
        <family val="0"/>
        <charset val="1"/>
      </rPr>
      <t xml:space="preserve">(</t>
    </r>
    <r>
      <rPr>
        <sz val="10"/>
        <rFont val="WenQuanYi Zen Hei"/>
        <family val="2"/>
      </rPr>
      <t xml:space="preserve">全国综述；作者在 </t>
    </r>
    <r>
      <rPr>
        <sz val="10"/>
        <rFont val="Arial"/>
        <family val="0"/>
        <charset val="1"/>
      </rPr>
      <t xml:space="preserve">Halifax)</t>
    </r>
  </si>
  <si>
    <t xml:space="preserve">Intro + Theme 3 + Conclusion</t>
  </si>
  <si>
    <r>
      <rPr>
        <sz val="10"/>
        <rFont val="WenQuanYi Zen Hei"/>
        <family val="2"/>
      </rPr>
      <t xml:space="preserve">教授推荐的文献，直接回答 </t>
    </r>
    <r>
      <rPr>
        <sz val="10"/>
        <rFont val="Arial"/>
        <family val="0"/>
        <charset val="1"/>
      </rPr>
      <t xml:space="preserve">"What is the literature saying about newcomer families in Canada?"</t>
    </r>
    <r>
      <rPr>
        <sz val="10"/>
        <rFont val="WenQuanYi Zen Hei"/>
        <family val="2"/>
      </rPr>
      <t xml:space="preserve">。摘要：综述 </t>
    </r>
    <r>
      <rPr>
        <sz val="10"/>
        <rFont val="Arial"/>
        <family val="0"/>
        <charset val="1"/>
      </rPr>
      <t xml:space="preserve">2000–2019 </t>
    </r>
    <r>
      <rPr>
        <sz val="10"/>
        <rFont val="WenQuanYi Zen Hei"/>
        <family val="2"/>
      </rPr>
      <t xml:space="preserve">年 </t>
    </r>
    <r>
      <rPr>
        <sz val="10"/>
        <rFont val="Arial"/>
        <family val="0"/>
        <charset val="1"/>
      </rPr>
      <t xml:space="preserve">34 </t>
    </r>
    <r>
      <rPr>
        <sz val="10"/>
        <rFont val="WenQuanYi Zen Hei"/>
        <family val="2"/>
      </rPr>
      <t xml:space="preserve">篇加拿大研究，归纳三点：跨文化理解、回应与沟通是充分获得服务的关键；部分家庭面临因移民身份加剧的系统性障碍；家庭的看法和社会支持影响他们如何获得和体验服务。可用作引言的“加拿大文献概况”和 </t>
    </r>
    <r>
      <rPr>
        <sz val="10"/>
        <rFont val="Arial"/>
        <family val="0"/>
        <charset val="1"/>
      </rPr>
      <t xml:space="preserve">Theme 3 </t>
    </r>
    <r>
      <rPr>
        <sz val="10"/>
        <rFont val="WenQuanYi Zen Hei"/>
        <family val="2"/>
      </rPr>
      <t xml:space="preserve">的加拿大锚点。</t>
    </r>
  </si>
  <si>
    <r>
      <rPr>
        <sz val="10"/>
        <rFont val="WenQuanYi Zen Hei"/>
        <family val="2"/>
      </rPr>
      <t xml:space="preserve">书目：已在 </t>
    </r>
    <r>
      <rPr>
        <sz val="10"/>
        <rFont val="Arial"/>
        <family val="0"/>
        <charset val="1"/>
      </rPr>
      <t xml:space="preserve">Fakhari et al. (2025) </t>
    </r>
    <r>
      <rPr>
        <sz val="10"/>
        <rFont val="WenQuanYi Zen Hei"/>
        <family val="2"/>
      </rPr>
      <t xml:space="preserve">全文参考文献中逐字核对。内容：摘要片段。</t>
    </r>
  </si>
  <si>
    <r>
      <rPr>
        <sz val="10"/>
        <rFont val="WenQuanYi Zen Hei"/>
        <family val="2"/>
      </rPr>
      <t xml:space="preserve">读全文 </t>
    </r>
    <r>
      <rPr>
        <sz val="10"/>
        <rFont val="Arial"/>
        <family val="0"/>
        <charset val="1"/>
      </rPr>
      <t xml:space="preserve">(</t>
    </r>
    <r>
      <rPr>
        <sz val="10"/>
        <rFont val="WenQuanYi Zen Hei"/>
        <family val="2"/>
      </rPr>
      <t xml:space="preserve">开放获取</t>
    </r>
    <r>
      <rPr>
        <sz val="10"/>
        <rFont val="Arial"/>
        <family val="0"/>
        <charset val="1"/>
      </rPr>
      <t xml:space="preserve">)</t>
    </r>
    <r>
      <rPr>
        <sz val="10"/>
        <rFont val="WenQuanYi Zen Hei"/>
        <family val="2"/>
      </rPr>
      <t xml:space="preserve">，核对引语和页码；可从它的 </t>
    </r>
    <r>
      <rPr>
        <sz val="10"/>
        <rFont val="Arial"/>
        <family val="0"/>
        <charset val="1"/>
      </rPr>
      <t xml:space="preserve">34 </t>
    </r>
    <r>
      <rPr>
        <sz val="10"/>
        <rFont val="WenQuanYi Zen Hei"/>
        <family val="2"/>
      </rPr>
      <t xml:space="preserve">篇里找安省或多伦多的原始研究。</t>
    </r>
  </si>
  <si>
    <t xml:space="preserve">https://www.j-ces.com/index.php/jces/article/view/49</t>
  </si>
  <si>
    <r>
      <rPr>
        <sz val="10"/>
        <rFont val="WenQuanYi Zen Hei"/>
        <family val="2"/>
      </rPr>
      <t xml:space="preserve">教授推荐；</t>
    </r>
    <r>
      <rPr>
        <sz val="10"/>
        <rFont val="Arial"/>
        <family val="0"/>
        <charset val="1"/>
      </rPr>
      <t xml:space="preserve">Fakhari 2025 </t>
    </r>
    <r>
      <rPr>
        <sz val="10"/>
        <rFont val="WenQuanYi Zen Hei"/>
        <family val="2"/>
      </rPr>
      <t xml:space="preserve">与 </t>
    </r>
    <r>
      <rPr>
        <sz val="10"/>
        <rFont val="Arial"/>
        <family val="0"/>
        <charset val="1"/>
      </rPr>
      <t xml:space="preserve">Miles 2026 </t>
    </r>
    <r>
      <rPr>
        <sz val="10"/>
        <rFont val="WenQuanYi Zen Hei"/>
        <family val="2"/>
      </rPr>
      <t xml:space="preserve">的参考文献</t>
    </r>
  </si>
  <si>
    <t xml:space="preserve">N02</t>
  </si>
  <si>
    <t xml:space="preserve">Ontario Ministry of Education. (2014). How does learning happen? Ontario's pedagogy for the early years. Queen's Printer for Ontario. https://files.ontario.ca/edu-how-does-learning-happen-en-2021-03-23.pdf</t>
  </si>
  <si>
    <r>
      <rPr>
        <sz val="10"/>
        <rFont val="Arial"/>
        <family val="0"/>
        <charset val="1"/>
      </rPr>
      <t xml:space="preserve">Theme 3 (</t>
    </r>
    <r>
      <rPr>
        <sz val="10"/>
        <rFont val="WenQuanYi Zen Hei"/>
        <family val="2"/>
      </rPr>
      <t xml:space="preserve">可替代 </t>
    </r>
    <r>
      <rPr>
        <sz val="10"/>
        <rFont val="Arial"/>
        <family val="0"/>
        <charset val="1"/>
      </rPr>
      <t xml:space="preserve">StatCan </t>
    </r>
    <r>
      <rPr>
        <sz val="10"/>
        <rFont val="WenQuanYi Zen Hei"/>
        <family val="2"/>
      </rPr>
      <t xml:space="preserve">作为第 </t>
    </r>
    <r>
      <rPr>
        <sz val="10"/>
        <rFont val="Arial"/>
        <family val="0"/>
        <charset val="1"/>
      </rPr>
      <t xml:space="preserve">4 </t>
    </r>
    <r>
      <rPr>
        <sz val="10"/>
        <rFont val="WenQuanYi Zen Hei"/>
        <family val="2"/>
      </rPr>
      <t xml:space="preserve">份政策</t>
    </r>
    <r>
      <rPr>
        <sz val="10"/>
        <rFont val="Arial"/>
        <family val="0"/>
        <charset val="1"/>
      </rPr>
      <t xml:space="preserve">)</t>
    </r>
  </si>
  <si>
    <r>
      <rPr>
        <sz val="10"/>
        <rFont val="WenQuanYi Zen Hei"/>
        <family val="2"/>
      </rPr>
      <t xml:space="preserve">安省早期教育的教学法框架；</t>
    </r>
    <r>
      <rPr>
        <sz val="10"/>
        <rFont val="Arial"/>
        <family val="0"/>
        <charset val="1"/>
      </rPr>
      <t xml:space="preserve">belonging </t>
    </r>
    <r>
      <rPr>
        <sz val="10"/>
        <rFont val="WenQuanYi Zen Hei"/>
        <family val="2"/>
      </rPr>
      <t xml:space="preserve">是四个基础之一。片段：</t>
    </r>
    <r>
      <rPr>
        <sz val="10"/>
        <rFont val="Arial"/>
        <family val="0"/>
        <charset val="1"/>
      </rPr>
      <t xml:space="preserve">"Families should feel that they belong, are valuable contributors to their children's learning, and deserve to be engaged in a meaningful way." </t>
    </r>
    <r>
      <rPr>
        <sz val="10"/>
        <rFont val="WenQuanYi Zen Hei"/>
        <family val="2"/>
      </rPr>
      <t xml:space="preserve">用作 </t>
    </r>
    <r>
      <rPr>
        <sz val="10"/>
        <rFont val="Arial"/>
        <family val="0"/>
        <charset val="1"/>
      </rPr>
      <t xml:space="preserve">Theme 3 </t>
    </r>
    <r>
      <rPr>
        <sz val="10"/>
        <rFont val="WenQuanYi Zen Hei"/>
        <family val="2"/>
      </rPr>
      <t xml:space="preserve">的安省政策标准：服务应回应家庭的文化和语言；研究显示这一标准并不总能做到。</t>
    </r>
  </si>
  <si>
    <r>
      <rPr>
        <sz val="10"/>
        <rFont val="WenQuanYi Zen Hei"/>
        <family val="2"/>
      </rPr>
      <t xml:space="preserve">标题和 </t>
    </r>
    <r>
      <rPr>
        <sz val="10"/>
        <rFont val="Arial"/>
        <family val="0"/>
        <charset val="1"/>
      </rPr>
      <t xml:space="preserve">URL</t>
    </r>
    <r>
      <rPr>
        <sz val="10"/>
        <rFont val="WenQuanYi Zen Hei"/>
        <family val="2"/>
      </rPr>
      <t xml:space="preserve">：检索结果。引语：片段。页码未核。</t>
    </r>
  </si>
  <si>
    <r>
      <rPr>
        <sz val="10"/>
        <rFont val="WenQuanYi Zen Hei"/>
        <family val="2"/>
      </rPr>
      <t xml:space="preserve">下载 </t>
    </r>
    <r>
      <rPr>
        <sz val="10"/>
        <rFont val="Arial"/>
        <family val="0"/>
        <charset val="1"/>
      </rPr>
      <t xml:space="preserve">PDF</t>
    </r>
    <r>
      <rPr>
        <sz val="10"/>
        <rFont val="WenQuanYi Zen Hei"/>
        <family val="2"/>
      </rPr>
      <t xml:space="preserve">，核对引语和页码；确认出版者写法。</t>
    </r>
  </si>
  <si>
    <r>
      <rPr>
        <sz val="10"/>
        <rFont val="WenQuanYi Zen Hei"/>
        <family val="2"/>
      </rPr>
      <t xml:space="preserve">同左 </t>
    </r>
    <r>
      <rPr>
        <sz val="10"/>
        <rFont val="Arial"/>
        <family val="0"/>
        <charset val="1"/>
      </rPr>
      <t xml:space="preserve">URL</t>
    </r>
  </si>
  <si>
    <r>
      <rPr>
        <sz val="10"/>
        <rFont val="WenQuanYi Zen Hei"/>
        <family val="2"/>
      </rPr>
      <t xml:space="preserve">检索 </t>
    </r>
    <r>
      <rPr>
        <sz val="10"/>
        <rFont val="Arial"/>
        <family val="0"/>
        <charset val="1"/>
      </rPr>
      <t xml:space="preserve">(Theme 3)</t>
    </r>
  </si>
  <si>
    <t xml:space="preserve">N03</t>
  </si>
  <si>
    <r>
      <rPr>
        <sz val="10"/>
        <rFont val="Arial"/>
        <family val="0"/>
        <charset val="1"/>
      </rPr>
      <t xml:space="preserve">Toronto Children's Services. (2025). Family focus groups: Report back summary. City of Toronto. https://www.toronto.ca/wp-content/uploads/2025/09/90fa-tcs-policy-serviceplan-family-focus-groups.pdf (</t>
    </r>
    <r>
      <rPr>
        <sz val="10"/>
        <rFont val="WenQuanYi Zen Hei"/>
        <family val="2"/>
      </rPr>
      <t xml:space="preserve">年份、标题 </t>
    </r>
    <r>
      <rPr>
        <sz val="10"/>
        <rFont val="Arial"/>
        <family val="0"/>
        <charset val="1"/>
      </rPr>
      <t xml:space="preserve">NOT VERIFIED)</t>
    </r>
  </si>
  <si>
    <r>
      <rPr>
        <sz val="10"/>
        <rFont val="Arial"/>
        <family val="0"/>
        <charset val="1"/>
      </rPr>
      <t xml:space="preserve">9 </t>
    </r>
    <r>
      <rPr>
        <sz val="10"/>
        <rFont val="WenQuanYi Zen Hei"/>
        <family val="2"/>
      </rPr>
      <t xml:space="preserve">个焦点小组，</t>
    </r>
    <r>
      <rPr>
        <sz val="10"/>
        <rFont val="Arial"/>
        <family val="0"/>
        <charset val="1"/>
      </rPr>
      <t xml:space="preserve">104 </t>
    </r>
    <r>
      <rPr>
        <sz val="10"/>
        <rFont val="WenQuanYi Zen Hei"/>
        <family val="2"/>
      </rPr>
      <t xml:space="preserve">名家长和照护者；刻意招募没有使用服务的家庭，包括新移民家庭。片段：关于 </t>
    </r>
    <r>
      <rPr>
        <sz val="10"/>
        <rFont val="Arial"/>
        <family val="0"/>
        <charset val="1"/>
      </rPr>
      <t xml:space="preserve">child care</t>
    </r>
    <r>
      <rPr>
        <sz val="10"/>
        <rFont val="WenQuanYi Zen Hei"/>
        <family val="2"/>
      </rPr>
      <t xml:space="preserve">、</t>
    </r>
    <r>
      <rPr>
        <sz val="10"/>
        <rFont val="Arial"/>
        <family val="0"/>
        <charset val="1"/>
      </rPr>
      <t xml:space="preserve">EarlyON </t>
    </r>
    <r>
      <rPr>
        <sz val="10"/>
        <rFont val="WenQuanYi Zen Hei"/>
        <family val="2"/>
      </rPr>
      <t xml:space="preserve">和 </t>
    </r>
    <r>
      <rPr>
        <sz val="10"/>
        <rFont val="Arial"/>
        <family val="0"/>
        <charset val="1"/>
      </rPr>
      <t xml:space="preserve">fee subsidy </t>
    </r>
    <r>
      <rPr>
        <sz val="10"/>
        <rFont val="WenQuanYi Zen Hei"/>
        <family val="2"/>
      </rPr>
      <t xml:space="preserve">的信息不够、不清楚，也没有多语言版本。可作多伦多本地证据：知道有服务 ≠ 理解如何使用 </t>
    </r>
    <r>
      <rPr>
        <sz val="10"/>
        <rFont val="Arial"/>
        <family val="0"/>
        <charset val="1"/>
      </rPr>
      <t xml:space="preserve">(Theme 1)</t>
    </r>
    <r>
      <rPr>
        <sz val="10"/>
        <rFont val="WenQuanYi Zen Hei"/>
        <family val="2"/>
      </rPr>
      <t xml:space="preserve">；缺少语言和信息支持 </t>
    </r>
    <r>
      <rPr>
        <sz val="10"/>
        <rFont val="Arial"/>
        <family val="0"/>
        <charset val="1"/>
      </rPr>
      <t xml:space="preserve">(Theme 2)</t>
    </r>
    <r>
      <rPr>
        <sz val="10"/>
        <rFont val="WenQuanYi Zen Hei"/>
        <family val="2"/>
      </rPr>
      <t xml:space="preserve">。这是目前找到的最贴合教授论点的多伦多证据。</t>
    </r>
  </si>
  <si>
    <r>
      <rPr>
        <sz val="10"/>
        <rFont val="WenQuanYi Zen Hei"/>
        <family val="2"/>
      </rPr>
      <t xml:space="preserve">检索摘要片段 </t>
    </r>
    <r>
      <rPr>
        <sz val="10"/>
        <rFont val="Arial"/>
        <family val="0"/>
        <charset val="1"/>
      </rPr>
      <t xml:space="preserve">(snippet)</t>
    </r>
    <r>
      <rPr>
        <sz val="10"/>
        <rFont val="WenQuanYi Zen Hei"/>
        <family val="2"/>
      </rPr>
      <t xml:space="preserve">，全文未读，页码未核</t>
    </r>
  </si>
  <si>
    <r>
      <rPr>
        <sz val="10"/>
        <rFont val="WenQuanYi Zen Hei"/>
        <family val="2"/>
      </rPr>
      <t xml:space="preserve">先打开已引用的 </t>
    </r>
    <r>
      <rPr>
        <sz val="10"/>
        <rFont val="Arial"/>
        <family val="0"/>
        <charset val="1"/>
      </rPr>
      <t xml:space="preserve">Toronto Children's Services (2025) </t>
    </r>
    <r>
      <rPr>
        <sz val="10"/>
        <rFont val="WenQuanYi Zen Hei"/>
        <family val="2"/>
      </rPr>
      <t xml:space="preserve">服务规划，看里面是否已有同样的家长意见；若有，直接用已引用的那份，不必新增一条。若两份都引用，</t>
    </r>
    <r>
      <rPr>
        <sz val="10"/>
        <rFont val="Arial"/>
        <family val="0"/>
        <charset val="1"/>
      </rPr>
      <t xml:space="preserve">APA </t>
    </r>
    <r>
      <rPr>
        <sz val="10"/>
        <rFont val="WenQuanYi Zen Hei"/>
        <family val="2"/>
      </rPr>
      <t xml:space="preserve">要写成 </t>
    </r>
    <r>
      <rPr>
        <sz val="10"/>
        <rFont val="Arial"/>
        <family val="0"/>
        <charset val="1"/>
      </rPr>
      <t xml:space="preserve">2025a </t>
    </r>
    <r>
      <rPr>
        <sz val="10"/>
        <rFont val="WenQuanYi Zen Hei"/>
        <family val="2"/>
      </rPr>
      <t xml:space="preserve">和 </t>
    </r>
    <r>
      <rPr>
        <sz val="10"/>
        <rFont val="Arial"/>
        <family val="0"/>
        <charset val="1"/>
      </rPr>
      <t xml:space="preserve">2025b</t>
    </r>
    <r>
      <rPr>
        <sz val="10"/>
        <rFont val="WenQuanYi Zen Hei"/>
        <family val="2"/>
      </rPr>
      <t xml:space="preserve">。</t>
    </r>
  </si>
  <si>
    <r>
      <rPr>
        <sz val="10"/>
        <rFont val="WenQuanYi Zen Hei"/>
        <family val="2"/>
      </rPr>
      <t xml:space="preserve">检索 </t>
    </r>
    <r>
      <rPr>
        <sz val="10"/>
        <rFont val="Arial"/>
        <family val="0"/>
        <charset val="1"/>
      </rPr>
      <t xml:space="preserve">(Intro/Theme 1, Theme 2)</t>
    </r>
  </si>
  <si>
    <t xml:space="preserve">N04</t>
  </si>
  <si>
    <r>
      <rPr>
        <sz val="10"/>
        <rFont val="Arial"/>
        <family val="0"/>
        <charset val="1"/>
      </rPr>
      <t xml:space="preserve">B </t>
    </r>
    <r>
      <rPr>
        <sz val="10"/>
        <rFont val="WenQuanYi Zen Hei"/>
        <family val="2"/>
      </rPr>
      <t xml:space="preserve">建议</t>
    </r>
  </si>
  <si>
    <r>
      <rPr>
        <sz val="10"/>
        <rFont val="Arial"/>
        <family val="0"/>
        <charset val="1"/>
      </rPr>
      <t xml:space="preserve">Massing, C., Gyan, C., Giesbrecht, C., Kikulwe, D., &amp; Ghadi, N. (2023). Preferences and challenges in access to childcare programs: A mixed-methods study with newcomers to Canada. International Journal of Early Childhood. https://doi.org/10.1007/s13158-023-00375-w (</t>
    </r>
    <r>
      <rPr>
        <sz val="10"/>
        <rFont val="WenQuanYi Zen Hei"/>
        <family val="2"/>
      </rPr>
      <t xml:space="preserve">作者顺序、卷期页码、年份 </t>
    </r>
    <r>
      <rPr>
        <sz val="10"/>
        <rFont val="Arial"/>
        <family val="0"/>
        <charset val="1"/>
      </rPr>
      <t xml:space="preserve">NOT VERIFIED)</t>
    </r>
  </si>
  <si>
    <r>
      <rPr>
        <sz val="10"/>
        <rFont val="WenQuanYi Zen Hei"/>
        <family val="2"/>
      </rPr>
      <t xml:space="preserve">加拿大 </t>
    </r>
    <r>
      <rPr>
        <sz val="10"/>
        <rFont val="Arial"/>
        <family val="0"/>
        <charset val="1"/>
      </rPr>
      <t xml:space="preserve">(Regina, SK)</t>
    </r>
  </si>
  <si>
    <t xml:space="preserve">Theme 1 + Theme 3</t>
  </si>
  <si>
    <r>
      <rPr>
        <sz val="10"/>
        <rFont val="WenQuanYi Zen Hei"/>
        <family val="2"/>
      </rPr>
      <t xml:space="preserve">新移民专门样本：问卷 </t>
    </r>
    <r>
      <rPr>
        <sz val="10"/>
        <rFont val="Arial"/>
        <family val="0"/>
        <charset val="1"/>
      </rPr>
      <t xml:space="preserve">305 </t>
    </r>
    <r>
      <rPr>
        <sz val="10"/>
        <rFont val="WenQuanYi Zen Hei"/>
        <family val="2"/>
      </rPr>
      <t xml:space="preserve">名到加拿大不满 </t>
    </r>
    <r>
      <rPr>
        <sz val="10"/>
        <rFont val="Arial"/>
        <family val="0"/>
        <charset val="1"/>
      </rPr>
      <t xml:space="preserve">5 </t>
    </r>
    <r>
      <rPr>
        <sz val="10"/>
        <rFont val="WenQuanYi Zen Hei"/>
        <family val="2"/>
      </rPr>
      <t xml:space="preserve">年的新移民 </t>
    </r>
    <r>
      <rPr>
        <sz val="10"/>
        <rFont val="Arial"/>
        <family val="0"/>
        <charset val="1"/>
      </rPr>
      <t xml:space="preserve">(153 </t>
    </r>
    <r>
      <rPr>
        <sz val="10"/>
        <rFont val="WenQuanYi Zen Hei"/>
        <family val="2"/>
      </rPr>
      <t xml:space="preserve">人有孩子</t>
    </r>
    <r>
      <rPr>
        <sz val="10"/>
        <rFont val="Arial"/>
        <family val="0"/>
        <charset val="1"/>
      </rPr>
      <t xml:space="preserve">)</t>
    </r>
    <r>
      <rPr>
        <sz val="10"/>
        <rFont val="WenQuanYi Zen Hei"/>
        <family val="2"/>
      </rPr>
      <t xml:space="preserve">，加 </t>
    </r>
    <r>
      <rPr>
        <sz val="10"/>
        <rFont val="Arial"/>
        <family val="0"/>
        <charset val="1"/>
      </rPr>
      <t xml:space="preserve">13 </t>
    </r>
    <r>
      <rPr>
        <sz val="10"/>
        <rFont val="WenQuanYi Zen Hei"/>
        <family val="2"/>
      </rPr>
      <t xml:space="preserve">个焦点小组共 </t>
    </r>
    <r>
      <rPr>
        <sz val="10"/>
        <rFont val="Arial"/>
        <family val="0"/>
        <charset val="1"/>
      </rPr>
      <t xml:space="preserve">96 </t>
    </r>
    <r>
      <rPr>
        <sz val="10"/>
        <rFont val="WenQuanYi Zen Hei"/>
        <family val="2"/>
      </rPr>
      <t xml:space="preserve">人。片段：</t>
    </r>
    <r>
      <rPr>
        <sz val="10"/>
        <rFont val="Arial"/>
        <family val="0"/>
        <charset val="1"/>
      </rPr>
      <t xml:space="preserve">47% </t>
    </r>
    <r>
      <rPr>
        <sz val="10"/>
        <rFont val="WenQuanYi Zen Hei"/>
        <family val="2"/>
      </rPr>
      <t xml:space="preserve">没有可用的补贴托育；</t>
    </r>
    <r>
      <rPr>
        <sz val="10"/>
        <rFont val="Arial"/>
        <family val="0"/>
        <charset val="1"/>
      </rPr>
      <t xml:space="preserve">61.3% </t>
    </r>
    <r>
      <rPr>
        <sz val="10"/>
        <rFont val="WenQuanYi Zen Hei"/>
        <family val="2"/>
      </rPr>
      <t xml:space="preserve">认为项目对其语言和文化不敏感；新移民因 </t>
    </r>
    <r>
      <rPr>
        <sz val="10"/>
        <rFont val="Arial"/>
        <family val="0"/>
        <charset val="1"/>
      </rPr>
      <t xml:space="preserve">"linguistic, cultural, and administrative barriers" </t>
    </r>
    <r>
      <rPr>
        <sz val="10"/>
        <rFont val="WenQuanYi Zen Hei"/>
        <family val="2"/>
      </rPr>
      <t xml:space="preserve">处于不利。</t>
    </r>
    <r>
      <rPr>
        <sz val="10"/>
        <rFont val="Arial"/>
        <family val="0"/>
        <charset val="1"/>
      </rPr>
      <t xml:space="preserve">Theme 1</t>
    </r>
    <r>
      <rPr>
        <sz val="10"/>
        <rFont val="WenQuanYi Zen Hei"/>
        <family val="2"/>
      </rPr>
      <t xml:space="preserve">：行政和语言障碍；</t>
    </r>
    <r>
      <rPr>
        <sz val="10"/>
        <rFont val="Arial"/>
        <family val="0"/>
        <charset val="1"/>
      </rPr>
      <t xml:space="preserve">Theme 3</t>
    </r>
    <r>
      <rPr>
        <sz val="10"/>
        <rFont val="WenQuanYi Zen Hei"/>
        <family val="2"/>
      </rPr>
      <t xml:space="preserve">：加拿大新移民样本中多数认为项目缺乏文化与语言回应 </t>
    </r>
    <r>
      <rPr>
        <sz val="10"/>
        <rFont val="Arial"/>
        <family val="0"/>
        <charset val="1"/>
      </rPr>
      <t xml:space="preserve">(</t>
    </r>
    <r>
      <rPr>
        <sz val="10"/>
        <rFont val="WenQuanYi Zen Hei"/>
        <family val="2"/>
      </rPr>
      <t xml:space="preserve">数字须核</t>
    </r>
    <r>
      <rPr>
        <sz val="10"/>
        <rFont val="Arial"/>
        <family val="0"/>
        <charset val="1"/>
      </rPr>
      <t xml:space="preserve">)</t>
    </r>
    <r>
      <rPr>
        <sz val="10"/>
        <rFont val="WenQuanYi Zen Hei"/>
        <family val="2"/>
      </rPr>
      <t xml:space="preserve">。</t>
    </r>
  </si>
  <si>
    <r>
      <rPr>
        <sz val="10"/>
        <rFont val="WenQuanYi Zen Hei"/>
        <family val="2"/>
      </rPr>
      <t xml:space="preserve">读全文核对数字；确认年份 </t>
    </r>
    <r>
      <rPr>
        <sz val="10"/>
        <rFont val="Arial"/>
        <family val="0"/>
        <charset val="1"/>
      </rPr>
      <t xml:space="preserve">(2023 </t>
    </r>
    <r>
      <rPr>
        <sz val="10"/>
        <rFont val="WenQuanYi Zen Hei"/>
        <family val="2"/>
      </rPr>
      <t xml:space="preserve">网络首发 </t>
    </r>
    <r>
      <rPr>
        <sz val="10"/>
        <rFont val="Arial"/>
        <family val="0"/>
        <charset val="1"/>
      </rPr>
      <t xml:space="preserve">/ 2024 </t>
    </r>
    <r>
      <rPr>
        <sz val="10"/>
        <rFont val="WenQuanYi Zen Hei"/>
        <family val="2"/>
      </rPr>
      <t xml:space="preserve">出刊</t>
    </r>
    <r>
      <rPr>
        <sz val="10"/>
        <rFont val="Arial"/>
        <family val="0"/>
        <charset val="1"/>
      </rPr>
      <t xml:space="preserve">) </t>
    </r>
    <r>
      <rPr>
        <sz val="10"/>
        <rFont val="WenQuanYi Zen Hei"/>
        <family val="2"/>
      </rPr>
      <t xml:space="preserve">与卷期页码。</t>
    </r>
  </si>
  <si>
    <r>
      <rPr>
        <sz val="10"/>
        <rFont val="WenQuanYi Zen Hei"/>
        <family val="2"/>
      </rPr>
      <t xml:space="preserve">检索 </t>
    </r>
    <r>
      <rPr>
        <sz val="10"/>
        <rFont val="Arial"/>
        <family val="0"/>
        <charset val="1"/>
      </rPr>
      <t xml:space="preserve">(Theme 1, Theme 2)</t>
    </r>
  </si>
  <si>
    <t xml:space="preserve">N05</t>
  </si>
  <si>
    <r>
      <rPr>
        <sz val="10"/>
        <rFont val="Arial"/>
        <family val="0"/>
        <charset val="1"/>
      </rPr>
      <t xml:space="preserve">Yohani, S., Kirova, A., Georgis, R., Gokiert, R., Mejia, T., &amp; Chiu, Y. (2019). Cultural brokering with Syrian refugee families with young children: An exploration of challenges and best practices in psychosocial adaptation. Journal of International Migration and Integration, 20(4), [</t>
    </r>
    <r>
      <rPr>
        <sz val="10"/>
        <rFont val="WenQuanYi Zen Hei"/>
        <family val="2"/>
      </rPr>
      <t xml:space="preserve">页码 </t>
    </r>
    <r>
      <rPr>
        <sz val="10"/>
        <rFont val="Arial"/>
        <family val="0"/>
        <charset val="1"/>
      </rPr>
      <t xml:space="preserve">NOT VERIFIED]. https://doi.org/10.1007/s12134-019-00651-6</t>
    </r>
  </si>
  <si>
    <r>
      <rPr>
        <sz val="10"/>
        <rFont val="WenQuanYi Zen Hei"/>
        <family val="2"/>
      </rPr>
      <t xml:space="preserve">加拿大西部 </t>
    </r>
    <r>
      <rPr>
        <sz val="10"/>
        <rFont val="Arial"/>
        <family val="0"/>
        <charset val="1"/>
      </rPr>
      <t xml:space="preserve">(Edmonton </t>
    </r>
    <r>
      <rPr>
        <sz val="10"/>
        <rFont val="WenQuanYi Zen Hei"/>
        <family val="2"/>
      </rPr>
      <t xml:space="preserve">团队</t>
    </r>
    <r>
      <rPr>
        <sz val="10"/>
        <rFont val="Arial"/>
        <family val="0"/>
        <charset val="1"/>
      </rPr>
      <t xml:space="preserve">)</t>
    </r>
  </si>
  <si>
    <r>
      <rPr>
        <sz val="10"/>
        <rFont val="WenQuanYi Zen Hei"/>
        <family val="2"/>
      </rPr>
      <t xml:space="preserve">访谈 </t>
    </r>
    <r>
      <rPr>
        <sz val="10"/>
        <rFont val="Arial"/>
        <family val="0"/>
        <charset val="1"/>
      </rPr>
      <t xml:space="preserve">9 </t>
    </r>
    <r>
      <rPr>
        <sz val="10"/>
        <rFont val="WenQuanYi Zen Hei"/>
        <family val="2"/>
      </rPr>
      <t xml:space="preserve">名讲阿拉伯语的文化中介 </t>
    </r>
    <r>
      <rPr>
        <sz val="10"/>
        <rFont val="Arial"/>
        <family val="0"/>
        <charset val="1"/>
      </rPr>
      <t xml:space="preserve">(cultural brokers)</t>
    </r>
    <r>
      <rPr>
        <sz val="10"/>
        <rFont val="WenQuanYi Zen Hei"/>
        <family val="2"/>
      </rPr>
      <t xml:space="preserve">。片段：家庭难以了解卫生、社会和教育系统，因而 </t>
    </r>
    <r>
      <rPr>
        <sz val="10"/>
        <rFont val="Arial"/>
        <family val="0"/>
        <charset val="1"/>
      </rPr>
      <t xml:space="preserve">"heavy reliance on cultural brokers"</t>
    </r>
    <r>
      <rPr>
        <sz val="10"/>
        <rFont val="WenQuanYi Zen Hei"/>
        <family val="2"/>
      </rPr>
      <t xml:space="preserve">；中介把家庭连接到所需支持。这是 </t>
    </r>
    <r>
      <rPr>
        <sz val="10"/>
        <rFont val="Arial"/>
        <family val="0"/>
        <charset val="1"/>
      </rPr>
      <t xml:space="preserve">Theme 2 </t>
    </r>
    <r>
      <rPr>
        <sz val="10"/>
        <rFont val="WenQuanYi Zen Hei"/>
        <family val="2"/>
      </rPr>
      <t xml:space="preserve">最直接的加拿大中介证据。限制：只访谈了中介，没访谈家庭；结果是心理社会适应，不专指 </t>
    </r>
    <r>
      <rPr>
        <sz val="10"/>
        <rFont val="Arial"/>
        <family val="0"/>
        <charset val="1"/>
      </rPr>
      <t xml:space="preserve">ECEC</t>
    </r>
    <r>
      <rPr>
        <sz val="10"/>
        <rFont val="WenQuanYi Zen Hei"/>
        <family val="2"/>
      </rPr>
      <t xml:space="preserve">。</t>
    </r>
  </si>
  <si>
    <r>
      <rPr>
        <sz val="10"/>
        <rFont val="WenQuanYi Zen Hei"/>
        <family val="2"/>
      </rPr>
      <t xml:space="preserve">检索摘要片段 </t>
    </r>
    <r>
      <rPr>
        <sz val="10"/>
        <rFont val="Arial"/>
        <family val="0"/>
        <charset val="1"/>
      </rPr>
      <t xml:space="preserve">(snippet)</t>
    </r>
    <r>
      <rPr>
        <sz val="10"/>
        <rFont val="WenQuanYi Zen Hei"/>
        <family val="2"/>
      </rPr>
      <t xml:space="preserve">，全文未读，页码未核。⚠ 检索给出的页码 </t>
    </r>
    <r>
      <rPr>
        <sz val="10"/>
        <rFont val="Arial"/>
        <family val="0"/>
        <charset val="1"/>
      </rPr>
      <t xml:space="preserve">1181–1202 </t>
    </r>
    <r>
      <rPr>
        <sz val="10"/>
        <rFont val="WenQuanYi Zen Hei"/>
        <family val="2"/>
      </rPr>
      <t xml:space="preserve">与 </t>
    </r>
    <r>
      <rPr>
        <sz val="10"/>
        <rFont val="Arial"/>
        <family val="0"/>
        <charset val="1"/>
      </rPr>
      <t xml:space="preserve">Miles </t>
    </r>
    <r>
      <rPr>
        <sz val="10"/>
        <rFont val="WenQuanYi Zen Hei"/>
        <family val="2"/>
      </rPr>
      <t xml:space="preserve">参考文献中 </t>
    </r>
    <r>
      <rPr>
        <sz val="10"/>
        <rFont val="Arial"/>
        <family val="0"/>
        <charset val="1"/>
      </rPr>
      <t xml:space="preserve">Seibel (2021) JIMI 22(3) </t>
    </r>
    <r>
      <rPr>
        <sz val="10"/>
        <rFont val="WenQuanYi Zen Hei"/>
        <family val="2"/>
      </rPr>
      <t xml:space="preserve">的页码完全相同，疑似混淆，不能用。</t>
    </r>
  </si>
  <si>
    <t xml:space="preserve">读全文，核对页码和内容。</t>
  </si>
  <si>
    <r>
      <rPr>
        <sz val="10"/>
        <rFont val="Arial"/>
        <family val="0"/>
        <charset val="1"/>
      </rPr>
      <t xml:space="preserve">Bath Spa repository (</t>
    </r>
    <r>
      <rPr>
        <sz val="10"/>
        <rFont val="WenQuanYi Zen Hei"/>
        <family val="2"/>
      </rPr>
      <t xml:space="preserve">未核</t>
    </r>
    <r>
      <rPr>
        <sz val="10"/>
        <rFont val="Arial"/>
        <family val="0"/>
        <charset val="1"/>
      </rPr>
      <t xml:space="preserve">)</t>
    </r>
  </si>
  <si>
    <r>
      <rPr>
        <sz val="10"/>
        <rFont val="WenQuanYi Zen Hei"/>
        <family val="2"/>
      </rPr>
      <t xml:space="preserve">检索 </t>
    </r>
    <r>
      <rPr>
        <sz val="10"/>
        <rFont val="Arial"/>
        <family val="0"/>
        <charset val="1"/>
      </rPr>
      <t xml:space="preserve">(Theme 2)</t>
    </r>
  </si>
  <si>
    <t xml:space="preserve">N06</t>
  </si>
  <si>
    <r>
      <rPr>
        <sz val="10"/>
        <rFont val="Arial"/>
        <family val="0"/>
        <charset val="1"/>
      </rPr>
      <t xml:space="preserve">Massing, C., Kirova, A., &amp; Hennig, K. (2013). The role of first language facilitators in redefining parent involvement: Newcomer families' funds of knowledge in an intercultural preschool program. Canadian Children, 38(2), [</t>
    </r>
    <r>
      <rPr>
        <sz val="10"/>
        <rFont val="WenQuanYi Zen Hei"/>
        <family val="2"/>
      </rPr>
      <t xml:space="preserve">页码 </t>
    </r>
    <r>
      <rPr>
        <sz val="10"/>
        <rFont val="Arial"/>
        <family val="0"/>
        <charset val="1"/>
      </rPr>
      <t xml:space="preserve">NOT VERIFIED]. https://doi.org/10.18357/jcs.v38i2.15445</t>
    </r>
  </si>
  <si>
    <r>
      <rPr>
        <sz val="10"/>
        <rFont val="WenQuanYi Zen Hei"/>
        <family val="2"/>
      </rPr>
      <t xml:space="preserve">加拿大 </t>
    </r>
    <r>
      <rPr>
        <sz val="10"/>
        <rFont val="Arial"/>
        <family val="0"/>
        <charset val="1"/>
      </rPr>
      <t xml:space="preserve">(Edmonton, AB)</t>
    </r>
  </si>
  <si>
    <r>
      <rPr>
        <sz val="10"/>
        <rFont val="WenQuanYi Zen Hei"/>
        <family val="2"/>
      </rPr>
      <t xml:space="preserve">跨文化幼儿园 </t>
    </r>
    <r>
      <rPr>
        <sz val="10"/>
        <rFont val="Arial"/>
        <family val="0"/>
        <charset val="1"/>
      </rPr>
      <t xml:space="preserve">(</t>
    </r>
    <r>
      <rPr>
        <sz val="10"/>
        <rFont val="WenQuanYi Zen Hei"/>
        <family val="2"/>
      </rPr>
      <t xml:space="preserve">英语加三种家庭语言</t>
    </r>
    <r>
      <rPr>
        <sz val="10"/>
        <rFont val="Arial"/>
        <family val="0"/>
        <charset val="1"/>
      </rPr>
      <t xml:space="preserve">) </t>
    </r>
    <r>
      <rPr>
        <sz val="10"/>
        <rFont val="WenQuanYi Zen Hei"/>
        <family val="2"/>
      </rPr>
      <t xml:space="preserve">的民族志资料。片段：第一语言辅导员和文化中介连接家庭与幼儿园，把家庭知识带进课程；一般的家长参与方式以欧美规范为准。</t>
    </r>
    <r>
      <rPr>
        <sz val="10"/>
        <rFont val="Arial"/>
        <family val="0"/>
        <charset val="1"/>
      </rPr>
      <t xml:space="preserve">Theme 2</t>
    </r>
    <r>
      <rPr>
        <sz val="10"/>
        <rFont val="WenQuanYi Zen Hei"/>
        <family val="2"/>
      </rPr>
      <t xml:space="preserve">：项目内的中介让家庭得以参与；</t>
    </r>
    <r>
      <rPr>
        <sz val="10"/>
        <rFont val="Arial"/>
        <family val="0"/>
        <charset val="1"/>
      </rPr>
      <t xml:space="preserve">Theme 3</t>
    </r>
    <r>
      <rPr>
        <sz val="10"/>
        <rFont val="WenQuanYi Zen Hei"/>
        <family val="2"/>
      </rPr>
      <t xml:space="preserve">：说明文化回应的服务是什么样子。“</t>
    </r>
    <r>
      <rPr>
        <sz val="10"/>
        <rFont val="Arial"/>
        <family val="0"/>
        <charset val="1"/>
      </rPr>
      <t xml:space="preserve">cultural brokers” </t>
    </r>
    <r>
      <rPr>
        <sz val="10"/>
        <rFont val="WenQuanYi Zen Hei"/>
        <family val="2"/>
      </rPr>
      <t xml:space="preserve">是该研究自己的用词，不要拿来当主题名。</t>
    </r>
  </si>
  <si>
    <r>
      <rPr>
        <sz val="10"/>
        <rFont val="WenQuanYi Zen Hei"/>
        <family val="2"/>
      </rPr>
      <t xml:space="preserve">检索摘要片段 </t>
    </r>
    <r>
      <rPr>
        <sz val="10"/>
        <rFont val="Arial"/>
        <family val="0"/>
        <charset val="1"/>
      </rPr>
      <t xml:space="preserve">(snippet)</t>
    </r>
    <r>
      <rPr>
        <sz val="10"/>
        <rFont val="WenQuanYi Zen Hei"/>
        <family val="2"/>
      </rPr>
      <t xml:space="preserve">，全文未读，页码未核。刊在 </t>
    </r>
    <r>
      <rPr>
        <sz val="10"/>
        <rFont val="Arial"/>
        <family val="0"/>
        <charset val="1"/>
      </rPr>
      <t xml:space="preserve">"Invitational Articles" </t>
    </r>
    <r>
      <rPr>
        <sz val="10"/>
        <rFont val="WenQuanYi Zen Hei"/>
        <family val="2"/>
      </rPr>
      <t xml:space="preserve">栏目，是否同行评审 </t>
    </r>
    <r>
      <rPr>
        <sz val="10"/>
        <rFont val="Arial"/>
        <family val="0"/>
        <charset val="1"/>
      </rPr>
      <t xml:space="preserve">NOT VERIFIED</t>
    </r>
    <r>
      <rPr>
        <sz val="10"/>
        <rFont val="WenQuanYi Zen Hei"/>
        <family val="2"/>
      </rPr>
      <t xml:space="preserve">。</t>
    </r>
  </si>
  <si>
    <r>
      <rPr>
        <sz val="10"/>
        <rFont val="WenQuanYi Zen Hei"/>
        <family val="2"/>
      </rPr>
      <t xml:space="preserve">读全文；确认是否同行评审 </t>
    </r>
    <r>
      <rPr>
        <sz val="10"/>
        <rFont val="Arial"/>
        <family val="0"/>
        <charset val="1"/>
      </rPr>
      <t xml:space="preserve">(</t>
    </r>
    <r>
      <rPr>
        <sz val="10"/>
        <rFont val="WenQuanYi Zen Hei"/>
        <family val="2"/>
      </rPr>
      <t xml:space="preserve">若否，不计入原始研究</t>
    </r>
    <r>
      <rPr>
        <sz val="10"/>
        <rFont val="Arial"/>
        <family val="0"/>
        <charset val="1"/>
      </rPr>
      <t xml:space="preserve">)</t>
    </r>
    <r>
      <rPr>
        <sz val="10"/>
        <rFont val="WenQuanYi Zen Hei"/>
        <family val="2"/>
      </rPr>
      <t xml:space="preserve">。</t>
    </r>
  </si>
  <si>
    <t xml:space="preserve">journals.uvic.ca/index.php/jcs/article/view/15445</t>
  </si>
  <si>
    <r>
      <rPr>
        <sz val="10"/>
        <rFont val="WenQuanYi Zen Hei"/>
        <family val="2"/>
      </rPr>
      <t xml:space="preserve">检索 </t>
    </r>
    <r>
      <rPr>
        <sz val="10"/>
        <rFont val="Arial"/>
        <family val="0"/>
        <charset val="1"/>
      </rPr>
      <t xml:space="preserve">(Theme 2, Theme 3)</t>
    </r>
  </si>
  <si>
    <t xml:space="preserve">N07</t>
  </si>
  <si>
    <t xml:space="preserve">Poureslami, I., Nimmon, L., Ng, K., Cho, S., Foster, S., &amp; Hertzman, C. (2013). Bridging immigrants and refugees with early childhood development services: Partnership research in the development of an effective service model. Early Child Development and Care, 183(12), 1924–1942. https://doi.org/10.1080/03004430.2013.763252</t>
  </si>
  <si>
    <r>
      <rPr>
        <sz val="10"/>
        <rFont val="WenQuanYi Zen Hei"/>
        <family val="2"/>
      </rPr>
      <t xml:space="preserve">加拿大 </t>
    </r>
    <r>
      <rPr>
        <sz val="10"/>
        <rFont val="Arial"/>
        <family val="0"/>
        <charset val="1"/>
      </rPr>
      <t xml:space="preserve">(BC, Tri-Cities)</t>
    </r>
  </si>
  <si>
    <r>
      <rPr>
        <sz val="10"/>
        <rFont val="Arial"/>
        <family val="0"/>
        <charset val="1"/>
      </rPr>
      <t xml:space="preserve">Theme 2 (</t>
    </r>
    <r>
      <rPr>
        <sz val="10"/>
        <rFont val="WenQuanYi Zen Hei"/>
        <family val="2"/>
      </rPr>
      <t xml:space="preserve">缺少支持时</t>
    </r>
    <r>
      <rPr>
        <sz val="10"/>
        <rFont val="Arial"/>
        <family val="0"/>
        <charset val="1"/>
      </rPr>
      <t xml:space="preserve">) + Theme 3</t>
    </r>
  </si>
  <si>
    <r>
      <rPr>
        <sz val="10"/>
        <rFont val="WenQuanYi Zen Hei"/>
        <family val="2"/>
      </rPr>
      <t xml:space="preserve">讲普通话、粤语、韩语和波斯语的移民和难民家长，社区参与式研究。片段：语言障碍、文化观念和对服务者的负面看法阻碍使用。</t>
    </r>
    <r>
      <rPr>
        <sz val="10"/>
        <rFont val="Arial"/>
        <family val="0"/>
        <charset val="1"/>
      </rPr>
      <t xml:space="preserve">Miles et al. (2026, p. 198) </t>
    </r>
    <r>
      <rPr>
        <sz val="10"/>
        <rFont val="WenQuanYi Zen Hei"/>
        <family val="2"/>
      </rPr>
      <t xml:space="preserve">转述：家长重视孩子在适应新文化和社区时的社交发展。是 </t>
    </r>
    <r>
      <rPr>
        <sz val="10"/>
        <rFont val="Arial"/>
        <family val="0"/>
        <charset val="1"/>
      </rPr>
      <t xml:space="preserve">Miles </t>
    </r>
    <r>
      <rPr>
        <sz val="10"/>
        <rFont val="WenQuanYi Zen Hei"/>
        <family val="2"/>
      </rPr>
      <t xml:space="preserve">纳入的 </t>
    </r>
    <r>
      <rPr>
        <sz val="10"/>
        <rFont val="Arial"/>
        <family val="0"/>
        <charset val="1"/>
      </rPr>
      <t xml:space="preserve">3 </t>
    </r>
    <r>
      <rPr>
        <sz val="10"/>
        <rFont val="WenQuanYi Zen Hei"/>
        <family val="2"/>
      </rPr>
      <t xml:space="preserve">篇加拿大研究之一。</t>
    </r>
  </si>
  <si>
    <r>
      <rPr>
        <sz val="10"/>
        <rFont val="WenQuanYi Zen Hei"/>
        <family val="2"/>
      </rPr>
      <t xml:space="preserve">书目：已在 </t>
    </r>
    <r>
      <rPr>
        <sz val="10"/>
        <rFont val="Arial"/>
        <family val="0"/>
        <charset val="1"/>
      </rPr>
      <t xml:space="preserve">Miles et al. (2026) </t>
    </r>
    <r>
      <rPr>
        <sz val="10"/>
        <rFont val="WenQuanYi Zen Hei"/>
        <family val="2"/>
      </rPr>
      <t xml:space="preserve">全文参考文献中逐字核对。内容：</t>
    </r>
    <r>
      <rPr>
        <sz val="10"/>
        <rFont val="Arial"/>
        <family val="0"/>
        <charset val="1"/>
      </rPr>
      <t xml:space="preserve">ERIC </t>
    </r>
    <r>
      <rPr>
        <sz val="10"/>
        <rFont val="WenQuanYi Zen Hei"/>
        <family val="2"/>
      </rPr>
      <t xml:space="preserve">摘要片段加 </t>
    </r>
    <r>
      <rPr>
        <sz val="10"/>
        <rFont val="Arial"/>
        <family val="0"/>
        <charset val="1"/>
      </rPr>
      <t xml:space="preserve">Miles </t>
    </r>
    <r>
      <rPr>
        <sz val="10"/>
        <rFont val="WenQuanYi Zen Hei"/>
        <family val="2"/>
      </rPr>
      <t xml:space="preserve">转述。</t>
    </r>
  </si>
  <si>
    <t xml:space="preserve">读全文。</t>
  </si>
  <si>
    <t xml:space="preserve">ERIC EJ1020896</t>
  </si>
  <si>
    <r>
      <rPr>
        <sz val="10"/>
        <rFont val="Arial"/>
        <family val="0"/>
        <charset val="1"/>
      </rPr>
      <t xml:space="preserve">Miles </t>
    </r>
    <r>
      <rPr>
        <sz val="10"/>
        <rFont val="WenQuanYi Zen Hei"/>
        <family val="2"/>
      </rPr>
      <t xml:space="preserve">参考文献 </t>
    </r>
    <r>
      <rPr>
        <sz val="10"/>
        <rFont val="Arial"/>
        <family val="0"/>
        <charset val="1"/>
      </rPr>
      <t xml:space="preserve">+ </t>
    </r>
    <r>
      <rPr>
        <sz val="10"/>
        <rFont val="WenQuanYi Zen Hei"/>
        <family val="2"/>
      </rPr>
      <t xml:space="preserve">检索</t>
    </r>
  </si>
  <si>
    <t xml:space="preserve">N08</t>
  </si>
  <si>
    <t xml:space="preserve">Kingsbury, M., Findlay, L., Arim, R., &amp; Wei, L. (2021). Differences in child care participation between immigrant and nonimmigrant families. Journal of Childhood Studies, 46(4), 46–58. https://doi.org/10.18357/jcs464202120123</t>
  </si>
  <si>
    <r>
      <rPr>
        <sz val="10"/>
        <rFont val="WenQuanYi Zen Hei"/>
        <family val="2"/>
      </rPr>
      <t xml:space="preserve">加拿大 </t>
    </r>
    <r>
      <rPr>
        <sz val="10"/>
        <rFont val="Arial"/>
        <family val="0"/>
        <charset val="1"/>
      </rPr>
      <t xml:space="preserve">(</t>
    </r>
    <r>
      <rPr>
        <sz val="10"/>
        <rFont val="WenQuanYi Zen Hei"/>
        <family val="2"/>
      </rPr>
      <t xml:space="preserve">全国；</t>
    </r>
    <r>
      <rPr>
        <sz val="10"/>
        <rFont val="Arial"/>
        <family val="0"/>
        <charset val="1"/>
      </rPr>
      <t xml:space="preserve">SELCCA 2019 + </t>
    </r>
    <r>
      <rPr>
        <sz val="10"/>
        <rFont val="WenQuanYi Zen Hei"/>
        <family val="2"/>
      </rPr>
      <t xml:space="preserve">移民数据库</t>
    </r>
    <r>
      <rPr>
        <sz val="10"/>
        <rFont val="Arial"/>
        <family val="0"/>
        <charset val="1"/>
      </rPr>
      <t xml:space="preserve">)</t>
    </r>
  </si>
  <si>
    <r>
      <rPr>
        <sz val="10"/>
        <rFont val="WenQuanYi Zen Hei"/>
        <family val="2"/>
      </rPr>
      <t xml:space="preserve">片段：</t>
    </r>
    <r>
      <rPr>
        <sz val="10"/>
        <rFont val="Arial"/>
        <family val="0"/>
        <charset val="1"/>
      </rPr>
      <t xml:space="preserve">"children from immigrant backgrounds were less likely to be in child care"</t>
    </r>
    <r>
      <rPr>
        <sz val="10"/>
        <rFont val="WenQuanYi Zen Hei"/>
        <family val="2"/>
      </rPr>
      <t xml:space="preserve">；不使用托育的移民家长更常提到费用。可在引言说明加拿大移民家庭使用托育较少。限制：测的是费用和选择，不是理解。</t>
    </r>
  </si>
  <si>
    <t xml:space="preserve">读全文核对数字。</t>
  </si>
  <si>
    <t xml:space="preserve">journals.uvic.ca/index.php/jcs/article/view/20123</t>
  </si>
  <si>
    <r>
      <rPr>
        <sz val="10"/>
        <rFont val="WenQuanYi Zen Hei"/>
        <family val="2"/>
      </rPr>
      <t xml:space="preserve">检索 </t>
    </r>
    <r>
      <rPr>
        <sz val="10"/>
        <rFont val="Arial"/>
        <family val="0"/>
        <charset val="1"/>
      </rPr>
      <t xml:space="preserve">(Intro/Theme 1)</t>
    </r>
  </si>
  <si>
    <t xml:space="preserve">N09</t>
  </si>
  <si>
    <r>
      <rPr>
        <sz val="10"/>
        <rFont val="Arial"/>
        <family val="0"/>
        <charset val="1"/>
      </rPr>
      <t xml:space="preserve">C </t>
    </r>
    <r>
      <rPr>
        <sz val="10"/>
        <rFont val="WenQuanYi Zen Hei"/>
        <family val="2"/>
      </rPr>
      <t xml:space="preserve">可选</t>
    </r>
  </si>
  <si>
    <t xml:space="preserve">Jang, S. Y. (2020). The pluralist language ideology of Korean immigrant mothers and the English-only principle in early childhood education programs. Language and Education, 34(1), 66–80. https://doi.org/10.1080/09500782.2019.1682598</t>
  </si>
  <si>
    <r>
      <rPr>
        <sz val="10"/>
        <rFont val="WenQuanYi Zen Hei"/>
        <family val="2"/>
      </rPr>
      <t xml:space="preserve">加拿大 </t>
    </r>
    <r>
      <rPr>
        <sz val="10"/>
        <rFont val="Arial"/>
        <family val="0"/>
        <charset val="1"/>
      </rPr>
      <t xml:space="preserve">(</t>
    </r>
    <r>
      <rPr>
        <sz val="10"/>
        <rFont val="WenQuanYi Zen Hei"/>
        <family val="2"/>
      </rPr>
      <t xml:space="preserve">城市未核</t>
    </r>
    <r>
      <rPr>
        <sz val="10"/>
        <rFont val="Arial"/>
        <family val="0"/>
        <charset val="1"/>
      </rPr>
      <t xml:space="preserve">)</t>
    </r>
  </si>
  <si>
    <r>
      <rPr>
        <sz val="10"/>
        <rFont val="Arial"/>
        <family val="0"/>
        <charset val="1"/>
      </rPr>
      <t xml:space="preserve">Theme 3 (</t>
    </r>
    <r>
      <rPr>
        <sz val="10"/>
        <rFont val="WenQuanYi Zen Hei"/>
        <family val="2"/>
      </rPr>
      <t xml:space="preserve">对比</t>
    </r>
    <r>
      <rPr>
        <sz val="10"/>
        <rFont val="Arial"/>
        <family val="0"/>
        <charset val="1"/>
      </rPr>
      <t xml:space="preserve">)</t>
    </r>
  </si>
  <si>
    <r>
      <rPr>
        <sz val="10"/>
        <rFont val="Arial"/>
        <family val="0"/>
        <charset val="1"/>
      </rPr>
      <t xml:space="preserve">8 </t>
    </r>
    <r>
      <rPr>
        <sz val="10"/>
        <rFont val="WenQuanYi Zen Hei"/>
        <family val="2"/>
      </rPr>
      <t xml:space="preserve">名韩国移民母亲。</t>
    </r>
    <r>
      <rPr>
        <sz val="10"/>
        <rFont val="Arial"/>
        <family val="0"/>
        <charset val="1"/>
      </rPr>
      <t xml:space="preserve">Miles et al. (2026, p. 199) </t>
    </r>
    <r>
      <rPr>
        <sz val="10"/>
        <rFont val="WenQuanYi Zen Hei"/>
        <family val="2"/>
      </rPr>
      <t xml:space="preserve">转述：家长选了全英语项目而不是双语项目，因为孩子在家会继续说韩语。可作为 </t>
    </r>
    <r>
      <rPr>
        <sz val="10"/>
        <rFont val="Arial"/>
        <family val="0"/>
        <charset val="1"/>
      </rPr>
      <t xml:space="preserve">Theme 3 </t>
    </r>
    <r>
      <rPr>
        <sz val="10"/>
        <rFont val="WenQuanYi Zen Hei"/>
        <family val="2"/>
      </rPr>
      <t xml:space="preserve">的对比：文化回应不等于一律提供母语，而是回应家庭自己的语言目标。</t>
    </r>
  </si>
  <si>
    <r>
      <rPr>
        <sz val="10"/>
        <rFont val="WenQuanYi Zen Hei"/>
        <family val="2"/>
      </rPr>
      <t xml:space="preserve">书目：已在 </t>
    </r>
    <r>
      <rPr>
        <sz val="10"/>
        <rFont val="Arial"/>
        <family val="0"/>
        <charset val="1"/>
      </rPr>
      <t xml:space="preserve">Miles </t>
    </r>
    <r>
      <rPr>
        <sz val="10"/>
        <rFont val="WenQuanYi Zen Hei"/>
        <family val="2"/>
      </rPr>
      <t xml:space="preserve">参考文献核对。内容：只有 </t>
    </r>
    <r>
      <rPr>
        <sz val="10"/>
        <rFont val="Arial"/>
        <family val="0"/>
        <charset val="1"/>
      </rPr>
      <t xml:space="preserve">Miles </t>
    </r>
    <r>
      <rPr>
        <sz val="10"/>
        <rFont val="WenQuanYi Zen Hei"/>
        <family val="2"/>
      </rPr>
      <t xml:space="preserve">的转述。</t>
    </r>
  </si>
  <si>
    <t xml:space="preserve">读全文；确认城市。</t>
  </si>
  <si>
    <r>
      <rPr>
        <sz val="10"/>
        <rFont val="Arial"/>
        <family val="0"/>
        <charset val="1"/>
      </rPr>
      <t xml:space="preserve">Miles </t>
    </r>
    <r>
      <rPr>
        <sz val="10"/>
        <rFont val="WenQuanYi Zen Hei"/>
        <family val="2"/>
      </rPr>
      <t xml:space="preserve">参考文献</t>
    </r>
  </si>
  <si>
    <t xml:space="preserve">N10</t>
  </si>
  <si>
    <t xml:space="preserve">Khanlou, N., Haque, N., Mustafa, N., Vazquez, L. M., Mantini, A., &amp; Weiss, J. (2017). Access barriers to services by immigrant mothers of children with autism in Canada. International Journal of Mental Health and Addiction, 15(2), 239–259. https://doi.org/10.1007/s11469-017-9732-4</t>
  </si>
  <si>
    <r>
      <rPr>
        <sz val="10"/>
        <rFont val="Arial"/>
        <family val="0"/>
        <charset val="1"/>
      </rPr>
      <t xml:space="preserve">Theme 1 (</t>
    </r>
    <r>
      <rPr>
        <sz val="10"/>
        <rFont val="WenQuanYi Zen Hei"/>
        <family val="2"/>
      </rPr>
      <t xml:space="preserve">旁证</t>
    </r>
    <r>
      <rPr>
        <sz val="10"/>
        <rFont val="Arial"/>
        <family val="0"/>
        <charset val="1"/>
      </rPr>
      <t xml:space="preserve">)</t>
    </r>
  </si>
  <si>
    <r>
      <rPr>
        <sz val="10"/>
        <rFont val="Arial"/>
        <family val="0"/>
        <charset val="1"/>
      </rPr>
      <t xml:space="preserve">21 </t>
    </r>
    <r>
      <rPr>
        <sz val="10"/>
        <rFont val="WenQuanYi Zen Hei"/>
        <family val="2"/>
      </rPr>
      <t xml:space="preserve">名移民母亲。片段：</t>
    </r>
    <r>
      <rPr>
        <sz val="10"/>
        <rFont val="Arial"/>
        <family val="0"/>
        <charset val="1"/>
      </rPr>
      <t xml:space="preserve">"lack of information about the resources available for their children, and this lack of knowledge delayed their access to services"</t>
    </r>
    <r>
      <rPr>
        <sz val="10"/>
        <rFont val="WenQuanYi Zen Hei"/>
        <family val="2"/>
      </rPr>
      <t xml:space="preserve">。是自闭症服务，不是 </t>
    </r>
    <r>
      <rPr>
        <sz val="10"/>
        <rFont val="Arial"/>
        <family val="0"/>
        <charset val="1"/>
      </rPr>
      <t xml:space="preserve">ECEC</t>
    </r>
    <r>
      <rPr>
        <sz val="10"/>
        <rFont val="WenQuanYi Zen Hei"/>
        <family val="2"/>
      </rPr>
      <t xml:space="preserve">，只能作旁证。</t>
    </r>
  </si>
  <si>
    <t xml:space="preserve">PMC5378730</t>
  </si>
  <si>
    <r>
      <rPr>
        <sz val="10"/>
        <rFont val="WenQuanYi Zen Hei"/>
        <family val="2"/>
      </rPr>
      <t xml:space="preserve">检索 </t>
    </r>
    <r>
      <rPr>
        <sz val="10"/>
        <rFont val="Arial"/>
        <family val="0"/>
        <charset val="1"/>
      </rPr>
      <t xml:space="preserve">(Theme 1)</t>
    </r>
  </si>
  <si>
    <t xml:space="preserve">N11</t>
  </si>
  <si>
    <r>
      <rPr>
        <sz val="10"/>
        <rFont val="Arial"/>
        <family val="0"/>
        <charset val="1"/>
      </rPr>
      <t xml:space="preserve">Statistics Canada. (2021, July 22). Parents' use of child care services and differences in use by mothers' employment status. Insights on Canadian Society (Catalogue No. 75-006-X). https://www150.statcan.gc.ca/n1/pub/75-006-x/2021001/article/00007-eng.htm (</t>
    </r>
    <r>
      <rPr>
        <sz val="10"/>
        <rFont val="WenQuanYi Zen Hei"/>
        <family val="2"/>
      </rPr>
      <t xml:space="preserve">作者 </t>
    </r>
    <r>
      <rPr>
        <sz val="10"/>
        <rFont val="Arial"/>
        <family val="0"/>
        <charset val="1"/>
      </rPr>
      <t xml:space="preserve">NOT VERIFIED)</t>
    </r>
  </si>
  <si>
    <r>
      <rPr>
        <sz val="10"/>
        <rFont val="Arial"/>
        <family val="0"/>
        <charset val="1"/>
      </rPr>
      <t xml:space="preserve">Introduction (</t>
    </r>
    <r>
      <rPr>
        <sz val="10"/>
        <rFont val="WenQuanYi Zen Hei"/>
        <family val="2"/>
      </rPr>
      <t xml:space="preserve">可选</t>
    </r>
    <r>
      <rPr>
        <sz val="10"/>
        <rFont val="Arial"/>
        <family val="0"/>
        <charset val="1"/>
      </rPr>
      <t xml:space="preserve">)</t>
    </r>
  </si>
  <si>
    <r>
      <rPr>
        <sz val="10"/>
        <rFont val="Arial"/>
        <family val="0"/>
        <charset val="1"/>
      </rPr>
      <t xml:space="preserve">2017 </t>
    </r>
    <r>
      <rPr>
        <sz val="10"/>
        <rFont val="WenQuanYi Zen Hei"/>
        <family val="2"/>
      </rPr>
      <t xml:space="preserve">年 </t>
    </r>
    <r>
      <rPr>
        <sz val="10"/>
        <rFont val="Arial"/>
        <family val="0"/>
        <charset val="1"/>
      </rPr>
      <t xml:space="preserve">GSS </t>
    </r>
    <r>
      <rPr>
        <sz val="10"/>
        <rFont val="WenQuanYi Zen Hei"/>
        <family val="2"/>
      </rPr>
      <t xml:space="preserve">数据：加拿大出生家长的托育使用率 </t>
    </r>
    <r>
      <rPr>
        <sz val="10"/>
        <rFont val="Arial"/>
        <family val="0"/>
        <charset val="1"/>
      </rPr>
      <t xml:space="preserve">69%</t>
    </r>
    <r>
      <rPr>
        <sz val="10"/>
        <rFont val="WenQuanYi Zen Hei"/>
        <family val="2"/>
      </rPr>
      <t xml:space="preserve">，移民家长 </t>
    </r>
    <r>
      <rPr>
        <sz val="10"/>
        <rFont val="Arial"/>
        <family val="0"/>
        <charset val="1"/>
      </rPr>
      <t xml:space="preserve">53%</t>
    </r>
    <r>
      <rPr>
        <sz val="10"/>
        <rFont val="WenQuanYi Zen Hei"/>
        <family val="2"/>
      </rPr>
      <t xml:space="preserve">。作者把差异解释为就业和多代同住，不是理解不足，所以只能作背景。</t>
    </r>
  </si>
  <si>
    <t xml:space="preserve">打开网页核对数字和作者。</t>
  </si>
  <si>
    <r>
      <rPr>
        <sz val="10"/>
        <rFont val="WenQuanYi Zen Hei"/>
        <family val="2"/>
      </rPr>
      <t xml:space="preserve">检索 </t>
    </r>
    <r>
      <rPr>
        <sz val="10"/>
        <rFont val="Arial"/>
        <family val="0"/>
        <charset val="1"/>
      </rPr>
      <t xml:space="preserve">(Intro)</t>
    </r>
  </si>
  <si>
    <t xml:space="preserve">N12</t>
  </si>
  <si>
    <t xml:space="preserve">Immigration, Refugees and Citizenship Canada. (2017). Evaluation of the Settlement Program. https://www.canada.ca/en/immigration-refugees-citizenship/corporate/reports-statistics/evaluations/settlement-program.html</t>
  </si>
  <si>
    <r>
      <rPr>
        <sz val="10"/>
        <rFont val="Arial"/>
        <family val="0"/>
        <charset val="1"/>
      </rPr>
      <t xml:space="preserve">Theme 2 (</t>
    </r>
    <r>
      <rPr>
        <sz val="10"/>
        <rFont val="WenQuanYi Zen Hei"/>
        <family val="2"/>
      </rPr>
      <t xml:space="preserve">背景</t>
    </r>
    <r>
      <rPr>
        <sz val="10"/>
        <rFont val="Arial"/>
        <family val="0"/>
        <charset val="1"/>
      </rPr>
      <t xml:space="preserve">)</t>
    </r>
  </si>
  <si>
    <r>
      <rPr>
        <sz val="10"/>
        <rFont val="WenQuanYi Zen Hei"/>
        <family val="2"/>
      </rPr>
      <t xml:space="preserve">片段：</t>
    </r>
    <r>
      <rPr>
        <sz val="10"/>
        <rFont val="Arial"/>
        <family val="0"/>
        <charset val="1"/>
      </rPr>
      <t xml:space="preserve">"The Settlement Program also funds six support services (i.e., Care for Newcomer Children, Transportation, Translation, Interpretation, Disability Support and Crisis Counselling) to help facilitate access to settlement programming." </t>
    </r>
    <r>
      <rPr>
        <sz val="10"/>
        <rFont val="WenQuanYi Zen Hei"/>
        <family val="2"/>
      </rPr>
      <t xml:space="preserve">说明联邦把托育和口译当作使用服务的前提，但对象是安置服务 </t>
    </r>
    <r>
      <rPr>
        <sz val="10"/>
        <rFont val="Arial"/>
        <family val="0"/>
        <charset val="1"/>
      </rPr>
      <t xml:space="preserve">(</t>
    </r>
    <r>
      <rPr>
        <sz val="10"/>
        <rFont val="WenQuanYi Zen Hei"/>
        <family val="2"/>
      </rPr>
      <t xml:space="preserve">如语言课</t>
    </r>
    <r>
      <rPr>
        <sz val="10"/>
        <rFont val="Arial"/>
        <family val="0"/>
        <charset val="1"/>
      </rPr>
      <t xml:space="preserve">)</t>
    </r>
    <r>
      <rPr>
        <sz val="10"/>
        <rFont val="WenQuanYi Zen Hei"/>
        <family val="2"/>
      </rPr>
      <t xml:space="preserve">，不是 </t>
    </r>
    <r>
      <rPr>
        <sz val="10"/>
        <rFont val="Arial"/>
        <family val="0"/>
        <charset val="1"/>
      </rPr>
      <t xml:space="preserve">ECEC</t>
    </r>
    <r>
      <rPr>
        <sz val="10"/>
        <rFont val="WenQuanYi Zen Hei"/>
        <family val="2"/>
      </rPr>
      <t xml:space="preserve">。</t>
    </r>
  </si>
  <si>
    <t xml:space="preserve">打开原文核对。</t>
  </si>
  <si>
    <t xml:space="preserve">N13</t>
  </si>
  <si>
    <r>
      <rPr>
        <sz val="10"/>
        <rFont val="Arial"/>
        <family val="0"/>
        <charset val="1"/>
      </rPr>
      <t xml:space="preserve">Alboim, N., &amp; Cohl, K. (2021). Toronto newcomer strategy renewal: Consultation synthesis [Report for the City of Toronto]. https://www.toronto.ca/legdocs/mmis/2021/ec/bgrd/backgroundfile-166820.pdf (</t>
    </r>
    <r>
      <rPr>
        <sz val="10"/>
        <rFont val="WenQuanYi Zen Hei"/>
        <family val="2"/>
      </rPr>
      <t xml:space="preserve">标题和作者写法 </t>
    </r>
    <r>
      <rPr>
        <sz val="10"/>
        <rFont val="Arial"/>
        <family val="0"/>
        <charset val="1"/>
      </rPr>
      <t xml:space="preserve">NOT VERIFIED)</t>
    </r>
  </si>
  <si>
    <r>
      <rPr>
        <sz val="10"/>
        <rFont val="WenQuanYi Zen Hei"/>
        <family val="2"/>
      </rPr>
      <t xml:space="preserve">片段：</t>
    </r>
    <r>
      <rPr>
        <sz val="10"/>
        <rFont val="Arial"/>
        <family val="0"/>
        <charset val="1"/>
      </rPr>
      <t xml:space="preserve">EarlyON </t>
    </r>
    <r>
      <rPr>
        <sz val="10"/>
        <rFont val="WenQuanYi Zen Hei"/>
        <family val="2"/>
      </rPr>
      <t xml:space="preserve">的线上个案服务包含口译；但总体上市政服务的口译和翻译支持不足。可作多伦多背景。</t>
    </r>
  </si>
  <si>
    <t xml:space="preserve">N14</t>
  </si>
  <si>
    <r>
      <rPr>
        <sz val="10"/>
        <rFont val="Arial"/>
        <family val="0"/>
        <charset val="1"/>
      </rPr>
      <t xml:space="preserve">Gagné Petteni, M., Edwards, B., Poon, B., Janus, M., Guhn, M., Goossen, R., Santana Ortiz, S., &amp; Gadermann, A. (2026). Understanding the early development and well-being of children from refugee backgrounds in kindergarten from the perspective of teachers and settlement workers: A population-level, mixed methods study. Early Childhood Research Quarterly, 76, 430–444. (DOI </t>
    </r>
    <r>
      <rPr>
        <sz val="10"/>
        <rFont val="WenQuanYi Zen Hei"/>
        <family val="2"/>
      </rPr>
      <t xml:space="preserve">和作者顺序 </t>
    </r>
    <r>
      <rPr>
        <sz val="10"/>
        <rFont val="Arial"/>
        <family val="0"/>
        <charset val="1"/>
      </rPr>
      <t xml:space="preserve">NOT VERIFIED)</t>
    </r>
  </si>
  <si>
    <r>
      <rPr>
        <sz val="10"/>
        <rFont val="WenQuanYi Zen Hei"/>
        <family val="2"/>
      </rPr>
      <t xml:space="preserve">加拿大 </t>
    </r>
    <r>
      <rPr>
        <sz val="10"/>
        <rFont val="Arial"/>
        <family val="0"/>
        <charset val="1"/>
      </rPr>
      <t xml:space="preserve">(BC)</t>
    </r>
  </si>
  <si>
    <r>
      <rPr>
        <sz val="10"/>
        <rFont val="Arial"/>
        <family val="0"/>
        <charset val="1"/>
      </rPr>
      <t xml:space="preserve">Introduction (</t>
    </r>
    <r>
      <rPr>
        <sz val="10"/>
        <rFont val="WenQuanYi Zen Hei"/>
        <family val="2"/>
      </rPr>
      <t xml:space="preserve">可选；不建议</t>
    </r>
    <r>
      <rPr>
        <sz val="10"/>
        <rFont val="Arial"/>
        <family val="0"/>
        <charset val="1"/>
      </rPr>
      <t xml:space="preserve">)</t>
    </r>
  </si>
  <si>
    <r>
      <rPr>
        <sz val="10"/>
        <rFont val="WenQuanYi Zen Hei"/>
        <family val="2"/>
      </rPr>
      <t xml:space="preserve">难民背景儿童在 </t>
    </r>
    <r>
      <rPr>
        <sz val="10"/>
        <rFont val="Arial"/>
        <family val="0"/>
        <charset val="1"/>
      </rPr>
      <t xml:space="preserve">16 </t>
    </r>
    <r>
      <rPr>
        <sz val="10"/>
        <rFont val="WenQuanYi Zen Hei"/>
        <family val="2"/>
      </rPr>
      <t xml:space="preserve">个发展领域中有 </t>
    </r>
    <r>
      <rPr>
        <sz val="10"/>
        <rFont val="Arial"/>
        <family val="0"/>
        <charset val="1"/>
      </rPr>
      <t xml:space="preserve">14 </t>
    </r>
    <r>
      <rPr>
        <sz val="10"/>
        <rFont val="WenQuanYi Zen Hei"/>
        <family val="2"/>
      </rPr>
      <t xml:space="preserve">个显著较低 </t>
    </r>
    <r>
      <rPr>
        <sz val="10"/>
        <rFont val="Arial"/>
        <family val="0"/>
        <charset val="1"/>
      </rPr>
      <t xml:space="preserve">(N = 232,888)</t>
    </r>
    <r>
      <rPr>
        <sz val="10"/>
        <rFont val="WenQuanYi Zen Hei"/>
        <family val="2"/>
      </rPr>
      <t xml:space="preserve">。⚠ 原稿写 </t>
    </r>
    <r>
      <rPr>
        <sz val="10"/>
        <rFont val="Arial"/>
        <family val="0"/>
        <charset val="1"/>
      </rPr>
      <t xml:space="preserve">"14 of 16 school-readiness domains" (</t>
    </r>
    <r>
      <rPr>
        <sz val="10"/>
        <rFont val="WenQuanYi Zen Hei"/>
        <family val="2"/>
      </rPr>
      <t xml:space="preserve">来源是 </t>
    </r>
    <r>
      <rPr>
        <sz val="10"/>
        <rFont val="Arial"/>
        <family val="0"/>
        <charset val="1"/>
      </rPr>
      <t xml:space="preserve">"areas of development") </t>
    </r>
    <r>
      <rPr>
        <sz val="10"/>
        <rFont val="WenQuanYi Zen Hei"/>
        <family val="2"/>
      </rPr>
      <t xml:space="preserve">和 </t>
    </r>
    <r>
      <rPr>
        <sz val="10"/>
        <rFont val="Arial"/>
        <family val="0"/>
        <charset val="1"/>
      </rPr>
      <t xml:space="preserve">"call for concrete pathways" (</t>
    </r>
    <r>
      <rPr>
        <sz val="10"/>
        <rFont val="WenQuanYi Zen Hei"/>
        <family val="2"/>
      </rPr>
      <t xml:space="preserve">来源是 </t>
    </r>
    <r>
      <rPr>
        <sz val="10"/>
        <rFont val="Arial"/>
        <family val="0"/>
        <charset val="1"/>
      </rPr>
      <t xml:space="preserve">"concrete ways school systems could be more proactive and responsive")</t>
    </r>
    <r>
      <rPr>
        <sz val="10"/>
        <rFont val="WenQuanYi Zen Hei"/>
        <family val="2"/>
      </rPr>
      <t xml:space="preserve">，都不准确。讲的是儿童发展结果，不是家庭使用服务，与新论点关系弱。</t>
    </r>
  </si>
  <si>
    <t xml:space="preserve">若要用，须读全文。</t>
  </si>
  <si>
    <r>
      <rPr>
        <sz val="10"/>
        <rFont val="WenQuanYi Zen Hei"/>
        <family val="2"/>
      </rPr>
      <t xml:space="preserve">原稿 </t>
    </r>
    <r>
      <rPr>
        <sz val="10"/>
        <rFont val="Arial"/>
        <family val="0"/>
        <charset val="1"/>
      </rPr>
      <t xml:space="preserve">(</t>
    </r>
    <r>
      <rPr>
        <sz val="10"/>
        <rFont val="WenQuanYi Zen Hei"/>
        <family val="2"/>
      </rPr>
      <t xml:space="preserve">已划掉</t>
    </r>
    <r>
      <rPr>
        <sz val="10"/>
        <rFont val="Arial"/>
        <family val="0"/>
        <charset val="1"/>
      </rPr>
      <t xml:space="preserve">)</t>
    </r>
  </si>
  <si>
    <t xml:space="preserve">N15</t>
  </si>
  <si>
    <t xml:space="preserve">无</t>
  </si>
  <si>
    <r>
      <rPr>
        <sz val="10"/>
        <rFont val="Arial"/>
        <family val="0"/>
        <charset val="1"/>
      </rPr>
      <t xml:space="preserve">[</t>
    </r>
    <r>
      <rPr>
        <sz val="10"/>
        <rFont val="WenQuanYi Zen Hei"/>
        <family val="2"/>
      </rPr>
      <t xml:space="preserve">作者 </t>
    </r>
    <r>
      <rPr>
        <sz val="10"/>
        <rFont val="Arial"/>
        <family val="0"/>
        <charset val="1"/>
      </rPr>
      <t xml:space="preserve">NOT VERIFIED</t>
    </r>
    <r>
      <rPr>
        <sz val="10"/>
        <rFont val="WenQuanYi Zen Hei"/>
        <family val="2"/>
      </rPr>
      <t xml:space="preserve">，可能是 </t>
    </r>
    <r>
      <rPr>
        <sz val="10"/>
        <rFont val="Arial"/>
        <family val="0"/>
        <charset val="1"/>
      </rPr>
      <t xml:space="preserve">Bernhard, Young &amp; Goldring]. (2025?). Precarious status families' access to early childhood services in a sanctuary city: The case of Toronto, Canada [Book chapter]. Springer. https://doi.org/10.1007/978-3-031-95151-0_12</t>
    </r>
  </si>
  <si>
    <r>
      <rPr>
        <sz val="10"/>
        <rFont val="Arial"/>
        <family val="0"/>
        <charset val="1"/>
      </rPr>
      <t xml:space="preserve">Theme 1 (</t>
    </r>
    <r>
      <rPr>
        <sz val="10"/>
        <rFont val="WenQuanYi Zen Hei"/>
        <family val="2"/>
      </rPr>
      <t xml:space="preserve">资格</t>
    </r>
    <r>
      <rPr>
        <sz val="10"/>
        <rFont val="Arial"/>
        <family val="0"/>
        <charset val="1"/>
      </rPr>
      <t xml:space="preserve">)</t>
    </r>
  </si>
  <si>
    <r>
      <rPr>
        <sz val="10"/>
        <rFont val="WenQuanYi Zen Hei"/>
        <family val="2"/>
      </rPr>
      <t xml:space="preserve">文献综述：</t>
    </r>
    <r>
      <rPr>
        <sz val="10"/>
        <rFont val="Arial"/>
        <family val="0"/>
        <charset val="1"/>
      </rPr>
      <t xml:space="preserve">Access T.O. </t>
    </r>
    <r>
      <rPr>
        <sz val="10"/>
        <rFont val="WenQuanYi Zen Hei"/>
        <family val="2"/>
      </rPr>
      <t xml:space="preserve">政策下，身份不稳定的家庭仍常因父母身份被拒绝服务；有难民申请者的补贴被突然撤销。多伦多专门，但只核到标题和 </t>
    </r>
    <r>
      <rPr>
        <sz val="10"/>
        <rFont val="Arial"/>
        <family val="0"/>
        <charset val="1"/>
      </rPr>
      <t xml:space="preserve">DOI</t>
    </r>
    <r>
      <rPr>
        <sz val="10"/>
        <rFont val="WenQuanYi Zen Hei"/>
        <family val="2"/>
      </rPr>
      <t xml:space="preserve">。</t>
    </r>
  </si>
  <si>
    <r>
      <rPr>
        <sz val="10"/>
        <rFont val="WenQuanYi Zen Hei"/>
        <family val="2"/>
      </rPr>
      <t xml:space="preserve">仅标题和 </t>
    </r>
    <r>
      <rPr>
        <sz val="10"/>
        <rFont val="Arial"/>
        <family val="0"/>
        <charset val="1"/>
      </rPr>
      <t xml:space="preserve">DOI</t>
    </r>
    <r>
      <rPr>
        <sz val="10"/>
        <rFont val="WenQuanYi Zen Hei"/>
        <family val="2"/>
      </rPr>
      <t xml:space="preserve">；作者、书名、年份未核</t>
    </r>
  </si>
  <si>
    <t xml:space="preserve">找到全文后再决定。</t>
  </si>
  <si>
    <t xml:space="preserve">DOI</t>
  </si>
  <si>
    <t xml:space="preserve">检索</t>
  </si>
  <si>
    <t xml:space="preserve">N16</t>
  </si>
  <si>
    <t xml:space="preserve">不建议</t>
  </si>
  <si>
    <r>
      <rPr>
        <sz val="10"/>
        <rFont val="Arial"/>
        <family val="0"/>
        <charset val="1"/>
      </rPr>
      <t xml:space="preserve">Nigro, L., &amp; Ward-Seidel, A. (2024). Reimagining early childhood education and school readiness through the perspectives of historically marginalized families living in a rural community. Contemporary Issues in Early Childhood. https://doi.org/10.1177/14639491241293479 (</t>
    </r>
    <r>
      <rPr>
        <sz val="10"/>
        <rFont val="WenQuanYi Zen Hei"/>
        <family val="2"/>
      </rPr>
      <t xml:space="preserve">若已出刊，</t>
    </r>
    <r>
      <rPr>
        <sz val="10"/>
        <rFont val="Arial"/>
        <family val="0"/>
        <charset val="1"/>
      </rPr>
      <t xml:space="preserve">APA </t>
    </r>
    <r>
      <rPr>
        <sz val="10"/>
        <rFont val="WenQuanYi Zen Hei"/>
        <family val="2"/>
      </rPr>
      <t xml:space="preserve">用出刊年卷期；</t>
    </r>
    <r>
      <rPr>
        <sz val="10"/>
        <rFont val="Arial"/>
        <family val="0"/>
        <charset val="1"/>
      </rPr>
      <t xml:space="preserve">NOT VERIFIED)</t>
    </r>
  </si>
  <si>
    <r>
      <rPr>
        <sz val="10"/>
        <rFont val="WenQuanYi Zen Hei"/>
        <family val="2"/>
      </rPr>
      <t xml:space="preserve">美国 </t>
    </r>
    <r>
      <rPr>
        <sz val="10"/>
        <rFont val="Arial"/>
        <family val="0"/>
        <charset val="1"/>
      </rPr>
      <t xml:space="preserve">(</t>
    </r>
    <r>
      <rPr>
        <sz val="10"/>
        <rFont val="WenQuanYi Zen Hei"/>
        <family val="2"/>
      </rPr>
      <t xml:space="preserve">乡村</t>
    </r>
    <r>
      <rPr>
        <sz val="10"/>
        <rFont val="Arial"/>
        <family val="0"/>
        <charset val="1"/>
      </rPr>
      <t xml:space="preserve">)</t>
    </r>
  </si>
  <si>
    <r>
      <rPr>
        <sz val="10"/>
        <rFont val="WenQuanYi Zen Hei"/>
        <family val="2"/>
      </rPr>
      <t xml:space="preserve">教授推荐过，但样本是美国乡村 </t>
    </r>
    <r>
      <rPr>
        <sz val="10"/>
        <rFont val="Arial"/>
        <family val="0"/>
        <charset val="1"/>
      </rPr>
      <t xml:space="preserve">8 </t>
    </r>
    <r>
      <rPr>
        <sz val="10"/>
        <rFont val="WenQuanYi Zen Hei"/>
        <family val="2"/>
      </rPr>
      <t xml:space="preserve">名“历史上被边缘化”的照护者，不是新移民，也不在加拿大。与新论点和“聚焦安省”都不合，不建议放进这篇综述。</t>
    </r>
  </si>
  <si>
    <t xml:space="preserve">ERIC ED672419</t>
  </si>
  <si>
    <r>
      <rPr>
        <sz val="10"/>
        <rFont val="WenQuanYi Zen Hei"/>
        <family val="2"/>
      </rPr>
      <t xml:space="preserve">教授推荐 </t>
    </r>
    <r>
      <rPr>
        <sz val="10"/>
        <rFont val="Arial"/>
        <family val="0"/>
        <charset val="1"/>
      </rPr>
      <t xml:space="preserve">(CLAUDE.md)</t>
    </r>
  </si>
  <si>
    <t xml:space="preserve">N17</t>
  </si>
  <si>
    <r>
      <rPr>
        <sz val="10"/>
        <rFont val="Arial"/>
        <family val="0"/>
        <charset val="1"/>
      </rPr>
      <t xml:space="preserve">Coelho (2026)</t>
    </r>
    <r>
      <rPr>
        <sz val="10"/>
        <rFont val="WenQuanYi Zen Hei"/>
        <family val="2"/>
      </rPr>
      <t xml:space="preserve">：检索 </t>
    </r>
    <r>
      <rPr>
        <sz val="10"/>
        <rFont val="Arial"/>
        <family val="0"/>
        <charset val="1"/>
      </rPr>
      <t xml:space="preserve">7 </t>
    </r>
    <r>
      <rPr>
        <sz val="10"/>
        <rFont val="WenQuanYi Zen Hei"/>
        <family val="2"/>
      </rPr>
      <t xml:space="preserve">次未找到符合的 </t>
    </r>
    <r>
      <rPr>
        <sz val="10"/>
        <rFont val="Arial"/>
        <family val="0"/>
        <charset val="1"/>
      </rPr>
      <t xml:space="preserve">2026 </t>
    </r>
    <r>
      <rPr>
        <sz val="10"/>
        <rFont val="WenQuanYi Zen Hei"/>
        <family val="2"/>
      </rPr>
      <t xml:space="preserve">年作品。可能是 </t>
    </r>
    <r>
      <rPr>
        <sz val="10"/>
        <rFont val="Arial"/>
        <family val="0"/>
        <charset val="1"/>
      </rPr>
      <t xml:space="preserve">Elizabeth Coelho (</t>
    </r>
    <r>
      <rPr>
        <sz val="10"/>
        <rFont val="WenQuanYi Zen Hei"/>
        <family val="2"/>
      </rPr>
      <t xml:space="preserve">多伦多</t>
    </r>
    <r>
      <rPr>
        <sz val="10"/>
        <rFont val="Arial"/>
        <family val="0"/>
        <charset val="1"/>
      </rPr>
      <t xml:space="preserve">) </t>
    </r>
    <r>
      <rPr>
        <sz val="10"/>
        <rFont val="WenQuanYi Zen Hei"/>
        <family val="2"/>
      </rPr>
      <t xml:space="preserve">的书，但没有 </t>
    </r>
    <r>
      <rPr>
        <sz val="10"/>
        <rFont val="Arial"/>
        <family val="0"/>
        <charset val="1"/>
      </rPr>
      <t xml:space="preserve">2026 </t>
    </r>
    <r>
      <rPr>
        <sz val="10"/>
        <rFont val="WenQuanYi Zen Hei"/>
        <family val="2"/>
      </rPr>
      <t xml:space="preserve">年版本。</t>
    </r>
  </si>
  <si>
    <r>
      <rPr>
        <sz val="10"/>
        <rFont val="WenQuanYi Zen Hei"/>
        <family val="2"/>
      </rPr>
      <t xml:space="preserve">不要引用，除非从教授的阅读清单拿到准确标题或 </t>
    </r>
    <r>
      <rPr>
        <sz val="10"/>
        <rFont val="Arial"/>
        <family val="0"/>
        <charset val="1"/>
      </rPr>
      <t xml:space="preserve">DOI</t>
    </r>
    <r>
      <rPr>
        <sz val="10"/>
        <rFont val="WenQuanYi Zen Hei"/>
        <family val="2"/>
      </rPr>
      <t xml:space="preserve">。</t>
    </r>
  </si>
  <si>
    <t xml:space="preserve">未找到</t>
  </si>
  <si>
    <t xml:space="preserve">向教授或课程阅读清单确认</t>
  </si>
  <si>
    <t xml:space="preserve">N18</t>
  </si>
  <si>
    <r>
      <rPr>
        <sz val="10"/>
        <rFont val="Arial"/>
        <family val="0"/>
        <charset val="1"/>
      </rPr>
      <t xml:space="preserve">Rahman, N. (2025). Understanding the experiences of newcomer ethnocultural families seeking early learning and child care services in Edmonton, Alberta, Canada [Master's thesis, University of Alberta]. (</t>
    </r>
    <r>
      <rPr>
        <sz val="10"/>
        <rFont val="WenQuanYi Zen Hei"/>
        <family val="2"/>
      </rPr>
      <t xml:space="preserve">作者 </t>
    </r>
    <r>
      <rPr>
        <sz val="10"/>
        <rFont val="Arial"/>
        <family val="0"/>
        <charset val="1"/>
      </rPr>
      <t xml:space="preserve">NOT VERIFIED)</t>
    </r>
  </si>
  <si>
    <r>
      <rPr>
        <sz val="10"/>
        <rFont val="WenQuanYi Zen Hei"/>
        <family val="2"/>
      </rPr>
      <t xml:space="preserve">加拿大 </t>
    </r>
    <r>
      <rPr>
        <sz val="10"/>
        <rFont val="Arial"/>
        <family val="0"/>
        <charset val="1"/>
      </rPr>
      <t xml:space="preserve">(Edmonton)</t>
    </r>
  </si>
  <si>
    <r>
      <rPr>
        <sz val="10"/>
        <rFont val="Arial"/>
        <family val="0"/>
        <charset val="1"/>
      </rPr>
      <t xml:space="preserve">21 </t>
    </r>
    <r>
      <rPr>
        <sz val="10"/>
        <rFont val="WenQuanYi Zen Hei"/>
        <family val="2"/>
      </rPr>
      <t xml:space="preserve">名家长，障碍包括 </t>
    </r>
    <r>
      <rPr>
        <sz val="10"/>
        <rFont val="Arial"/>
        <family val="0"/>
        <charset val="1"/>
      </rPr>
      <t xml:space="preserve">"accessing reliable ELCC information"</t>
    </r>
    <r>
      <rPr>
        <sz val="10"/>
        <rFont val="WenQuanYi Zen Hei"/>
        <family val="2"/>
      </rPr>
      <t xml:space="preserve">。内容很贴题，但是硕士论文，不是同行评审，不计入要求。</t>
    </r>
  </si>
  <si>
    <t xml:space="preserve">N19</t>
  </si>
  <si>
    <r>
      <rPr>
        <sz val="10"/>
        <rFont val="WenQuanYi Zen Hei"/>
        <family val="2"/>
      </rPr>
      <t xml:space="preserve">线索 </t>
    </r>
    <r>
      <rPr>
        <sz val="10"/>
        <rFont val="Arial"/>
        <family val="0"/>
        <charset val="1"/>
      </rPr>
      <t xml:space="preserve">(</t>
    </r>
    <r>
      <rPr>
        <sz val="10"/>
        <rFont val="WenQuanYi Zen Hei"/>
        <family val="2"/>
      </rPr>
      <t xml:space="preserve">不可引</t>
    </r>
    <r>
      <rPr>
        <sz val="10"/>
        <rFont val="Arial"/>
        <family val="0"/>
        <charset val="1"/>
      </rPr>
      <t xml:space="preserve">)</t>
    </r>
  </si>
  <si>
    <r>
      <rPr>
        <sz val="10"/>
        <rFont val="Arial"/>
        <family val="0"/>
        <charset val="1"/>
      </rPr>
      <t xml:space="preserve">Ontario </t>
    </r>
    <r>
      <rPr>
        <sz val="10"/>
        <rFont val="WenQuanYi Zen Hei"/>
        <family val="2"/>
      </rPr>
      <t xml:space="preserve">托育指引 </t>
    </r>
    <r>
      <rPr>
        <sz val="10"/>
        <rFont val="Arial"/>
        <family val="0"/>
        <charset val="1"/>
      </rPr>
      <t xml:space="preserve">(Child Care and Early Years guideline) </t>
    </r>
    <r>
      <rPr>
        <sz val="10"/>
        <rFont val="WenQuanYi Zen Hei"/>
        <family val="2"/>
      </rPr>
      <t xml:space="preserve">第 </t>
    </r>
    <r>
      <rPr>
        <sz val="10"/>
        <rFont val="Arial"/>
        <family val="0"/>
        <charset val="1"/>
      </rPr>
      <t xml:space="preserve">6 </t>
    </r>
    <r>
      <rPr>
        <sz val="10"/>
        <rFont val="WenQuanYi Zen Hei"/>
        <family val="2"/>
      </rPr>
      <t xml:space="preserve">章对 </t>
    </r>
    <r>
      <rPr>
        <sz val="10"/>
        <rFont val="Arial"/>
        <family val="0"/>
        <charset val="1"/>
      </rPr>
      <t xml:space="preserve">inclusive programs </t>
    </r>
    <r>
      <rPr>
        <sz val="10"/>
        <rFont val="WenQuanYi Zen Hei"/>
        <family val="2"/>
      </rPr>
      <t xml:space="preserve">的定义：</t>
    </r>
    <r>
      <rPr>
        <sz val="10"/>
        <rFont val="Arial"/>
        <family val="0"/>
        <charset val="1"/>
      </rPr>
      <t xml:space="preserve">"accessible and responsive to children, parents/guardians and caregivers with varying abilities and cultural, language, socio-economic… backgrounds"</t>
    </r>
    <r>
      <rPr>
        <sz val="10"/>
        <rFont val="WenQuanYi Zen Hei"/>
        <family val="2"/>
      </rPr>
      <t xml:space="preserve">。标题和年份 </t>
    </r>
    <r>
      <rPr>
        <sz val="10"/>
        <rFont val="Arial"/>
        <family val="0"/>
        <charset val="1"/>
      </rPr>
      <t xml:space="preserve">NOT VERIFIED</t>
    </r>
    <r>
      <rPr>
        <sz val="10"/>
        <rFont val="WenQuanYi Zen Hei"/>
        <family val="2"/>
      </rPr>
      <t xml:space="preserve">。</t>
    </r>
  </si>
  <si>
    <r>
      <rPr>
        <sz val="10"/>
        <rFont val="Arial"/>
        <family val="0"/>
        <charset val="1"/>
      </rPr>
      <t xml:space="preserve">Theme 3 (</t>
    </r>
    <r>
      <rPr>
        <sz val="10"/>
        <rFont val="WenQuanYi Zen Hei"/>
        <family val="2"/>
      </rPr>
      <t xml:space="preserve">线索</t>
    </r>
    <r>
      <rPr>
        <sz val="10"/>
        <rFont val="Arial"/>
        <family val="0"/>
        <charset val="1"/>
      </rPr>
      <t xml:space="preserve">)</t>
    </r>
  </si>
  <si>
    <r>
      <rPr>
        <sz val="10"/>
        <rFont val="WenQuanYi Zen Hei"/>
        <family val="2"/>
      </rPr>
      <t xml:space="preserve">若能核到原文，是比 </t>
    </r>
    <r>
      <rPr>
        <sz val="10"/>
        <rFont val="Arial"/>
        <family val="0"/>
        <charset val="1"/>
      </rPr>
      <t xml:space="preserve">Access and Inclusion Framework </t>
    </r>
    <r>
      <rPr>
        <sz val="10"/>
        <rFont val="WenQuanYi Zen Hei"/>
        <family val="2"/>
      </rPr>
      <t xml:space="preserve">更直接的安省“文化回应”政策依据。</t>
    </r>
  </si>
  <si>
    <t xml:space="preserve">仅片段</t>
  </si>
  <si>
    <t xml:space="preserve">找到原文后再决定。</t>
  </si>
  <si>
    <t xml:space="preserve">efis.fma.csc.gov.on.ca/faab/Child Care/Guidelines/Ch.EN/Chapter6_EN.pdf</t>
  </si>
  <si>
    <t xml:space="preserve">清单</t>
  </si>
  <si>
    <r>
      <rPr>
        <b val="true"/>
        <sz val="10"/>
        <color rgb="FFFFFFFF"/>
        <rFont val="WenQuanYi Zen Hei"/>
        <family val="2"/>
      </rPr>
      <t xml:space="preserve">检查项 </t>
    </r>
    <r>
      <rPr>
        <b val="true"/>
        <sz val="10"/>
        <color rgb="FFFFFFFF"/>
        <rFont val="Arial"/>
        <family val="0"/>
        <charset val="1"/>
      </rPr>
      <t xml:space="preserve">(</t>
    </r>
    <r>
      <rPr>
        <b val="true"/>
        <sz val="10"/>
        <color rgb="FFFFFFFF"/>
        <rFont val="WenQuanYi Zen Hei"/>
        <family val="2"/>
      </rPr>
      <t xml:space="preserve">教授原文</t>
    </r>
    <r>
      <rPr>
        <b val="true"/>
        <sz val="10"/>
        <color rgb="FFFFFFFF"/>
        <rFont val="Arial"/>
        <family val="0"/>
        <charset val="1"/>
      </rPr>
      <t xml:space="preserve">)</t>
    </r>
  </si>
  <si>
    <r>
      <rPr>
        <b val="true"/>
        <sz val="10"/>
        <color rgb="FFFFFFFF"/>
        <rFont val="WenQuanYi Zen Hei"/>
        <family val="2"/>
      </rPr>
      <t xml:space="preserve">引导问题 </t>
    </r>
    <r>
      <rPr>
        <b val="true"/>
        <sz val="10"/>
        <color rgb="FFFFFFFF"/>
        <rFont val="Arial"/>
        <family val="0"/>
        <charset val="1"/>
      </rPr>
      <t xml:space="preserve">(</t>
    </r>
    <r>
      <rPr>
        <b val="true"/>
        <sz val="10"/>
        <color rgb="FFFFFFFF"/>
        <rFont val="WenQuanYi Zen Hei"/>
        <family val="2"/>
      </rPr>
      <t xml:space="preserve">教授原文</t>
    </r>
    <r>
      <rPr>
        <b val="true"/>
        <sz val="10"/>
        <color rgb="FFFFFFFF"/>
        <rFont val="Arial"/>
        <family val="0"/>
        <charset val="1"/>
      </rPr>
      <t xml:space="preserve">)</t>
    </r>
  </si>
  <si>
    <t xml:space="preserve">当前稿件状态</t>
  </si>
  <si>
    <t xml:space="preserve">需要做的修改</t>
  </si>
  <si>
    <t xml:space="preserve">状态</t>
  </si>
  <si>
    <t xml:space="preserve">Gaps</t>
  </si>
  <si>
    <t xml:space="preserve">I have a clear understanding of the existing literature.</t>
  </si>
  <si>
    <t xml:space="preserve">What do recent studies say about the topic?</t>
  </si>
  <si>
    <r>
      <rPr>
        <sz val="10"/>
        <rFont val="Arial"/>
        <family val="0"/>
        <charset val="1"/>
      </rPr>
      <t xml:space="preserve">13 </t>
    </r>
    <r>
      <rPr>
        <sz val="10"/>
        <rFont val="WenQuanYi Zen Hei"/>
        <family val="2"/>
      </rPr>
      <t xml:space="preserve">篇期刊文献已读 </t>
    </r>
    <r>
      <rPr>
        <sz val="10"/>
        <rFont val="Arial"/>
        <family val="0"/>
        <charset val="1"/>
      </rPr>
      <t xml:space="preserve">PDF</t>
    </r>
    <r>
      <rPr>
        <sz val="10"/>
        <rFont val="WenQuanYi Zen Hei"/>
        <family val="2"/>
      </rPr>
      <t xml:space="preserve">；但加拿大文献少 </t>
    </r>
    <r>
      <rPr>
        <sz val="10"/>
        <rFont val="Arial"/>
        <family val="0"/>
        <charset val="1"/>
      </rPr>
      <t xml:space="preserve">(Burns, Fakhari ×2)</t>
    </r>
    <r>
      <rPr>
        <sz val="10"/>
        <rFont val="WenQuanYi Zen Hei"/>
        <family val="2"/>
      </rPr>
      <t xml:space="preserve">。</t>
    </r>
  </si>
  <si>
    <r>
      <rPr>
        <sz val="10"/>
        <rFont val="WenQuanYi Zen Hei"/>
        <family val="2"/>
      </rPr>
      <t xml:space="preserve">补 </t>
    </r>
    <r>
      <rPr>
        <sz val="10"/>
        <rFont val="Arial"/>
        <family val="0"/>
        <charset val="1"/>
      </rPr>
      <t xml:space="preserve">1–3 </t>
    </r>
    <r>
      <rPr>
        <sz val="10"/>
        <rFont val="WenQuanYi Zen Hei"/>
        <family val="2"/>
      </rPr>
      <t xml:space="preserve">篇加拿大文献 </t>
    </r>
    <r>
      <rPr>
        <sz val="10"/>
        <rFont val="Arial"/>
        <family val="0"/>
        <charset val="1"/>
      </rPr>
      <t xml:space="preserve">(Brown 2020 </t>
    </r>
    <r>
      <rPr>
        <sz val="10"/>
        <rFont val="WenQuanYi Zen Hei"/>
        <family val="2"/>
      </rPr>
      <t xml:space="preserve">为教授推荐；</t>
    </r>
    <r>
      <rPr>
        <sz val="10"/>
        <rFont val="Arial"/>
        <family val="0"/>
        <charset val="1"/>
      </rPr>
      <t xml:space="preserve">Ajayi 2026 </t>
    </r>
    <r>
      <rPr>
        <sz val="10"/>
        <rFont val="WenQuanYi Zen Hei"/>
        <family val="2"/>
      </rPr>
      <t xml:space="preserve">安省</t>
    </r>
    <r>
      <rPr>
        <sz val="10"/>
        <rFont val="Arial"/>
        <family val="0"/>
        <charset val="1"/>
      </rPr>
      <t xml:space="preserve">)</t>
    </r>
    <r>
      <rPr>
        <sz val="10"/>
        <rFont val="WenQuanYi Zen Hei"/>
        <family val="2"/>
      </rPr>
      <t xml:space="preserve">。</t>
    </r>
  </si>
  <si>
    <t xml:space="preserve">I have identified what is missing, unclear or underexplored.</t>
  </si>
  <si>
    <t xml:space="preserve">What aspects of the topic have not been addressed, are inconsistent or need further investigation?</t>
  </si>
  <si>
    <r>
      <rPr>
        <sz val="10"/>
        <rFont val="WenQuanYi Zen Hei"/>
        <family val="2"/>
      </rPr>
      <t xml:space="preserve">现稿缺口是“各阶段分开研究”，与新论点 </t>
    </r>
    <r>
      <rPr>
        <sz val="10"/>
        <rFont val="Arial"/>
        <family val="0"/>
        <charset val="1"/>
      </rPr>
      <t xml:space="preserve">(</t>
    </r>
    <r>
      <rPr>
        <sz val="10"/>
        <rFont val="WenQuanYi Zen Hei"/>
        <family val="2"/>
      </rPr>
      <t xml:space="preserve">理解 → 使用</t>
    </r>
    <r>
      <rPr>
        <sz val="10"/>
        <rFont val="Arial"/>
        <family val="0"/>
        <charset val="1"/>
      </rPr>
      <t xml:space="preserve">) </t>
    </r>
    <r>
      <rPr>
        <sz val="10"/>
        <rFont val="WenQuanYi Zen Hei"/>
        <family val="2"/>
      </rPr>
      <t xml:space="preserve">不完全对上。</t>
    </r>
  </si>
  <si>
    <r>
      <rPr>
        <sz val="10"/>
        <rFont val="WenQuanYi Zen Hei"/>
        <family val="2"/>
      </rPr>
      <t xml:space="preserve">缺口改为：多伦多托育中心内，新移民家庭如何在支持下从理解资源走到使用资源 </t>
    </r>
    <r>
      <rPr>
        <sz val="10"/>
        <rFont val="Arial"/>
        <family val="0"/>
        <charset val="1"/>
      </rPr>
      <t xml:space="preserve">(F28, F29)</t>
    </r>
    <r>
      <rPr>
        <sz val="10"/>
        <rFont val="WenQuanYi Zen Hei"/>
        <family val="2"/>
      </rPr>
      <t xml:space="preserve">。</t>
    </r>
  </si>
  <si>
    <t xml:space="preserve">待改</t>
  </si>
  <si>
    <t xml:space="preserve">I can explain the significance of the gap.</t>
  </si>
  <si>
    <t xml:space="preserve">Why does this gap matter for research, practice or policy?</t>
  </si>
  <si>
    <r>
      <rPr>
        <sz val="10"/>
        <rFont val="WenQuanYi Zen Hei"/>
        <family val="2"/>
      </rPr>
      <t xml:space="preserve">有 </t>
    </r>
    <r>
      <rPr>
        <sz val="10"/>
        <rFont val="Arial"/>
        <family val="0"/>
        <charset val="1"/>
      </rPr>
      <t xml:space="preserve">TCS (2025, p. 47)</t>
    </r>
    <r>
      <rPr>
        <sz val="10"/>
        <rFont val="WenQuanYi Zen Hei"/>
        <family val="2"/>
      </rPr>
      <t xml:space="preserve">。</t>
    </r>
  </si>
  <si>
    <r>
      <rPr>
        <sz val="10"/>
        <rFont val="WenQuanYi Zen Hei"/>
        <family val="2"/>
      </rPr>
      <t xml:space="preserve">补一句对托育中心实践的意义 </t>
    </r>
    <r>
      <rPr>
        <sz val="10"/>
        <rFont val="Arial"/>
        <family val="0"/>
        <charset val="1"/>
      </rPr>
      <t xml:space="preserve">(</t>
    </r>
    <r>
      <rPr>
        <sz val="10"/>
        <rFont val="WenQuanYi Zen Hei"/>
        <family val="2"/>
      </rPr>
      <t xml:space="preserve">教育者如何支持理解</t>
    </r>
    <r>
      <rPr>
        <sz val="10"/>
        <rFont val="Arial"/>
        <family val="0"/>
        <charset val="1"/>
      </rPr>
      <t xml:space="preserve">)</t>
    </r>
    <r>
      <rPr>
        <sz val="10"/>
        <rFont val="WenQuanYi Zen Hei"/>
        <family val="2"/>
      </rPr>
      <t xml:space="preserve">。</t>
    </r>
  </si>
  <si>
    <t xml:space="preserve">I have linked the gap to my research question.</t>
  </si>
  <si>
    <t xml:space="preserve">How does my study address this gap?</t>
  </si>
  <si>
    <r>
      <rPr>
        <sz val="10"/>
        <rFont val="WenQuanYi Zen Hei"/>
        <family val="2"/>
      </rPr>
      <t xml:space="preserve">两版 </t>
    </r>
    <r>
      <rPr>
        <sz val="10"/>
        <rFont val="Arial"/>
        <family val="0"/>
        <charset val="1"/>
      </rPr>
      <t xml:space="preserve">RQ </t>
    </r>
    <r>
      <rPr>
        <sz val="10"/>
        <rFont val="WenQuanYi Zen Hei"/>
        <family val="2"/>
      </rPr>
      <t xml:space="preserve">并存，用语和论点不一致。</t>
    </r>
  </si>
  <si>
    <r>
      <rPr>
        <sz val="10"/>
        <rFont val="WenQuanYi Zen Hei"/>
        <family val="2"/>
      </rPr>
      <t xml:space="preserve">只留一版；用 </t>
    </r>
    <r>
      <rPr>
        <sz val="10"/>
        <rFont val="Arial"/>
        <family val="0"/>
        <charset val="1"/>
      </rPr>
      <t xml:space="preserve">understanding → support → use</t>
    </r>
    <r>
      <rPr>
        <sz val="10"/>
        <rFont val="WenQuanYi Zen Hei"/>
        <family val="2"/>
      </rPr>
      <t xml:space="preserve">。</t>
    </r>
  </si>
  <si>
    <t xml:space="preserve">I have provided evidence from multiple sources.</t>
  </si>
  <si>
    <t xml:space="preserve">Have I used recent, relevant and reputable sources to support the gap?</t>
  </si>
  <si>
    <r>
      <rPr>
        <sz val="10"/>
        <rFont val="WenQuanYi Zen Hei"/>
        <family val="2"/>
      </rPr>
      <t xml:space="preserve">缺口证据：</t>
    </r>
    <r>
      <rPr>
        <sz val="10"/>
        <rFont val="Arial"/>
        <family val="0"/>
        <charset val="1"/>
      </rPr>
      <t xml:space="preserve">Miles p. 202</t>
    </r>
    <r>
      <rPr>
        <sz val="10"/>
        <rFont val="WenQuanYi Zen Hei"/>
        <family val="2"/>
      </rPr>
      <t xml:space="preserve">；</t>
    </r>
    <r>
      <rPr>
        <sz val="10"/>
        <rFont val="Arial"/>
        <family val="0"/>
        <charset val="1"/>
      </rPr>
      <t xml:space="preserve">17 </t>
    </r>
    <r>
      <rPr>
        <sz val="10"/>
        <rFont val="WenQuanYi Zen Hei"/>
        <family val="2"/>
      </rPr>
      <t xml:space="preserve">篇中没有一篇在多伦多 </t>
    </r>
    <r>
      <rPr>
        <sz val="10"/>
        <rFont val="Arial"/>
        <family val="0"/>
        <charset val="1"/>
      </rPr>
      <t xml:space="preserve">(</t>
    </r>
    <r>
      <rPr>
        <sz val="10"/>
        <rFont val="WenQuanYi Zen Hei"/>
        <family val="2"/>
      </rPr>
      <t xml:space="preserve">已核对</t>
    </r>
    <r>
      <rPr>
        <sz val="10"/>
        <rFont val="Arial"/>
        <family val="0"/>
        <charset val="1"/>
      </rPr>
      <t xml:space="preserve">)</t>
    </r>
    <r>
      <rPr>
        <sz val="10"/>
        <rFont val="WenQuanYi Zen Hei"/>
        <family val="2"/>
      </rPr>
      <t xml:space="preserve">。</t>
    </r>
  </si>
  <si>
    <r>
      <rPr>
        <sz val="10"/>
        <rFont val="WenQuanYi Zen Hei"/>
        <family val="2"/>
      </rPr>
      <t xml:space="preserve">可加 </t>
    </r>
    <r>
      <rPr>
        <sz val="10"/>
        <rFont val="Arial"/>
        <family val="0"/>
        <charset val="1"/>
      </rPr>
      <t xml:space="preserve">Brown et al. (2020) </t>
    </r>
    <r>
      <rPr>
        <sz val="10"/>
        <rFont val="WenQuanYi Zen Hei"/>
        <family val="2"/>
      </rPr>
      <t xml:space="preserve">加拿大综述作为“加拿大证据有限”的依据 </t>
    </r>
    <r>
      <rPr>
        <sz val="10"/>
        <rFont val="Arial"/>
        <family val="0"/>
        <charset val="1"/>
      </rPr>
      <t xml:space="preserve">(</t>
    </r>
    <r>
      <rPr>
        <sz val="10"/>
        <rFont val="WenQuanYi Zen Hei"/>
        <family val="2"/>
      </rPr>
      <t xml:space="preserve">须先读</t>
    </r>
    <r>
      <rPr>
        <sz val="10"/>
        <rFont val="Arial"/>
        <family val="0"/>
        <charset val="1"/>
      </rPr>
      <t xml:space="preserve">)</t>
    </r>
    <r>
      <rPr>
        <sz val="10"/>
        <rFont val="WenQuanYi Zen Hei"/>
        <family val="2"/>
      </rPr>
      <t xml:space="preserve">。</t>
    </r>
  </si>
  <si>
    <t xml:space="preserve">I have positioned my study within the broader literature.</t>
  </si>
  <si>
    <t xml:space="preserve">How will my study contribute to existing knowledge?</t>
  </si>
  <si>
    <t xml:space="preserve">结论最后一段有，但写的是旧焦点。</t>
  </si>
  <si>
    <t xml:space="preserve">改为新论点下的贡献。</t>
  </si>
  <si>
    <t xml:space="preserve">Thematic</t>
  </si>
  <si>
    <t xml:space="preserve">My topic sentence introduces the main idea, not a particular source.</t>
  </si>
  <si>
    <t xml:space="preserve">Home-language supports can strengthen multilingual children's learning (Smith, 2022).</t>
  </si>
  <si>
    <r>
      <rPr>
        <sz val="10"/>
        <rFont val="WenQuanYi Zen Hei"/>
        <family val="2"/>
      </rPr>
      <t xml:space="preserve">旧 </t>
    </r>
    <r>
      <rPr>
        <sz val="10"/>
        <rFont val="Arial"/>
        <family val="0"/>
        <charset val="1"/>
      </rPr>
      <t xml:space="preserve">Theme 3 </t>
    </r>
    <r>
      <rPr>
        <sz val="10"/>
        <rFont val="WenQuanYi Zen Hei"/>
        <family val="2"/>
      </rPr>
      <t xml:space="preserve">以 </t>
    </r>
    <r>
      <rPr>
        <sz val="10"/>
        <rFont val="Arial"/>
        <family val="0"/>
        <charset val="1"/>
      </rPr>
      <t xml:space="preserve">"In a Norwegian kindergarten study..." </t>
    </r>
    <r>
      <rPr>
        <sz val="10"/>
        <rFont val="WenQuanYi Zen Hei"/>
        <family val="2"/>
      </rPr>
      <t xml:space="preserve">开头，是以文献开头。</t>
    </r>
  </si>
  <si>
    <r>
      <rPr>
        <sz val="10"/>
        <rFont val="WenQuanYi Zen Hei"/>
        <family val="2"/>
      </rPr>
      <t xml:space="preserve">三个主题都用观点句开头 </t>
    </r>
    <r>
      <rPr>
        <sz val="10"/>
        <rFont val="Arial"/>
        <family val="0"/>
        <charset val="1"/>
      </rPr>
      <t xml:space="preserve">(</t>
    </r>
    <r>
      <rPr>
        <sz val="10"/>
        <rFont val="WenQuanYi Zen Hei"/>
        <family val="2"/>
      </rPr>
      <t xml:space="preserve">见“新结构”表</t>
    </r>
    <r>
      <rPr>
        <sz val="10"/>
        <rFont val="Arial"/>
        <family val="0"/>
        <charset val="1"/>
      </rPr>
      <t xml:space="preserve">)</t>
    </r>
    <r>
      <rPr>
        <sz val="10"/>
        <rFont val="WenQuanYi Zen Hei"/>
        <family val="2"/>
      </rPr>
      <t xml:space="preserve">。</t>
    </r>
  </si>
  <si>
    <t xml:space="preserve">I synthesize multiple sources instead of summarizing one source at a time.</t>
  </si>
  <si>
    <t xml:space="preserve">Studies suggest that practices vary across settings (Brown, 2021; Jones, 2022; Kim, 2023).</t>
  </si>
  <si>
    <r>
      <rPr>
        <sz val="10"/>
        <rFont val="WenQuanYi Zen Hei"/>
        <family val="2"/>
      </rPr>
      <t xml:space="preserve">多处逐篇介绍 </t>
    </r>
    <r>
      <rPr>
        <sz val="10"/>
        <rFont val="Arial"/>
        <family val="0"/>
        <charset val="1"/>
      </rPr>
      <t xml:space="preserve">(Lund → Lund → Bhattashali → Schwartz)</t>
    </r>
    <r>
      <rPr>
        <sz val="10"/>
        <rFont val="WenQuanYi Zen Hei"/>
        <family val="2"/>
      </rPr>
      <t xml:space="preserve">，教授批注 </t>
    </r>
    <r>
      <rPr>
        <sz val="10"/>
        <rFont val="Arial"/>
        <family val="0"/>
        <charset val="1"/>
      </rPr>
      <t xml:space="preserve">#5 "so singularly"</t>
    </r>
    <r>
      <rPr>
        <sz val="10"/>
        <rFont val="WenQuanYi Zen Hei"/>
        <family val="2"/>
      </rPr>
      <t xml:space="preserve">。</t>
    </r>
  </si>
  <si>
    <r>
      <rPr>
        <sz val="10"/>
        <rFont val="WenQuanYi Zen Hei"/>
        <family val="2"/>
      </rPr>
      <t xml:space="preserve">按观点合并引用，例如 </t>
    </r>
    <r>
      <rPr>
        <sz val="10"/>
        <rFont val="Arial"/>
        <family val="0"/>
        <charset val="1"/>
      </rPr>
      <t xml:space="preserve">(Fakhari et al., 2023; Schwartz et al., 2026)</t>
    </r>
    <r>
      <rPr>
        <sz val="10"/>
        <rFont val="WenQuanYi Zen Hei"/>
        <family val="2"/>
      </rPr>
      <t xml:space="preserve">。</t>
    </r>
  </si>
  <si>
    <t xml:space="preserve">I support general claims with citations.</t>
  </si>
  <si>
    <t xml:space="preserve">Play supports children's cognitive and social development (Miller, 2021).</t>
  </si>
  <si>
    <r>
      <rPr>
        <sz val="10"/>
        <rFont val="WenQuanYi Zen Hei"/>
        <family val="2"/>
      </rPr>
      <t xml:space="preserve">引言 </t>
    </r>
    <r>
      <rPr>
        <sz val="10"/>
        <rFont val="Arial"/>
        <family val="0"/>
        <charset val="1"/>
      </rPr>
      <t xml:space="preserve">"especially important..." </t>
    </r>
    <r>
      <rPr>
        <sz val="10"/>
        <rFont val="WenQuanYi Zen Hei"/>
        <family val="2"/>
      </rPr>
      <t xml:space="preserve">无来源 </t>
    </r>
    <r>
      <rPr>
        <sz val="10"/>
        <rFont val="Arial"/>
        <family val="0"/>
        <charset val="1"/>
      </rPr>
      <t xml:space="preserve">(F02)</t>
    </r>
    <r>
      <rPr>
        <sz val="10"/>
        <rFont val="WenQuanYi Zen Hei"/>
        <family val="2"/>
      </rPr>
      <t xml:space="preserve">；</t>
    </r>
    <r>
      <rPr>
        <sz val="10"/>
        <rFont val="Arial"/>
        <family val="0"/>
        <charset val="1"/>
      </rPr>
      <t xml:space="preserve">Theme 2 "(list three sources)" </t>
    </r>
    <r>
      <rPr>
        <sz val="10"/>
        <rFont val="WenQuanYi Zen Hei"/>
        <family val="2"/>
      </rPr>
      <t xml:space="preserve">还是占位。</t>
    </r>
  </si>
  <si>
    <r>
      <rPr>
        <sz val="10"/>
        <rFont val="WenQuanYi Zen Hei"/>
        <family val="2"/>
      </rPr>
      <t xml:space="preserve">补 </t>
    </r>
    <r>
      <rPr>
        <sz val="10"/>
        <rFont val="Arial"/>
        <family val="0"/>
        <charset val="1"/>
      </rPr>
      <t xml:space="preserve">TCS p. 27</t>
    </r>
    <r>
      <rPr>
        <sz val="10"/>
        <rFont val="WenQuanYi Zen Hei"/>
        <family val="2"/>
      </rPr>
      <t xml:space="preserve">；</t>
    </r>
    <r>
      <rPr>
        <sz val="10"/>
        <rFont val="Arial"/>
        <family val="0"/>
        <charset val="1"/>
      </rPr>
      <t xml:space="preserve">Theme 2 </t>
    </r>
    <r>
      <rPr>
        <sz val="10"/>
        <rFont val="WenQuanYi Zen Hei"/>
        <family val="2"/>
      </rPr>
      <t xml:space="preserve">补三篇。</t>
    </r>
  </si>
  <si>
    <t xml:space="preserve">I paraphrase most ideas in my own words and use quotations sparingly.</t>
  </si>
  <si>
    <t xml:space="preserve">Meaningful interaction supports children's learning (Garcia, 2020).</t>
  </si>
  <si>
    <t xml:space="preserve">直接引语不多；红字口语需改成正式改写。</t>
  </si>
  <si>
    <r>
      <rPr>
        <sz val="10"/>
        <rFont val="WenQuanYi Zen Hei"/>
        <family val="2"/>
      </rPr>
      <t xml:space="preserve">删红字；保留 </t>
    </r>
    <r>
      <rPr>
        <sz val="10"/>
        <rFont val="Arial"/>
        <family val="0"/>
        <charset val="1"/>
      </rPr>
      <t xml:space="preserve">"revolutionary" </t>
    </r>
    <r>
      <rPr>
        <sz val="10"/>
        <rFont val="WenQuanYi Zen Hei"/>
        <family val="2"/>
      </rPr>
      <t xml:space="preserve">等少量引语或改为转述。</t>
    </r>
  </si>
  <si>
    <t xml:space="preserve">I group studies around a shared point or theme.</t>
  </si>
  <si>
    <t xml:space="preserve">Research highlights three connected themes...</t>
  </si>
  <si>
    <r>
      <rPr>
        <sz val="10"/>
        <rFont val="WenQuanYi Zen Hei"/>
        <family val="2"/>
      </rPr>
      <t xml:space="preserve">旧主题是 </t>
    </r>
    <r>
      <rPr>
        <sz val="10"/>
        <rFont val="Arial"/>
        <family val="0"/>
        <charset val="1"/>
      </rPr>
      <t xml:space="preserve">policy / family effort / educators</t>
    </r>
    <r>
      <rPr>
        <sz val="10"/>
        <rFont val="WenQuanYi Zen Hei"/>
        <family val="2"/>
      </rPr>
      <t xml:space="preserve">。</t>
    </r>
  </si>
  <si>
    <r>
      <rPr>
        <sz val="10"/>
        <rFont val="WenQuanYi Zen Hei"/>
        <family val="2"/>
      </rPr>
      <t xml:space="preserve">改为教授的三主题：理解 </t>
    </r>
    <r>
      <rPr>
        <sz val="10"/>
        <rFont val="Arial"/>
        <family val="0"/>
        <charset val="1"/>
      </rPr>
      <t xml:space="preserve">/ </t>
    </r>
    <r>
      <rPr>
        <sz val="10"/>
        <rFont val="WenQuanYi Zen Hei"/>
        <family val="2"/>
      </rPr>
      <t xml:space="preserve">支持 </t>
    </r>
    <r>
      <rPr>
        <sz val="10"/>
        <rFont val="Arial"/>
        <family val="0"/>
        <charset val="1"/>
      </rPr>
      <t xml:space="preserve">/ </t>
    </r>
    <r>
      <rPr>
        <sz val="10"/>
        <rFont val="WenQuanYi Zen Hei"/>
        <family val="2"/>
      </rPr>
      <t xml:space="preserve">文化回应。</t>
    </r>
  </si>
  <si>
    <t xml:space="preserve">I explain what the evidence means, not just what studies found.</t>
  </si>
  <si>
    <t xml:space="preserve">Together, these studies suggest family engagement is central...</t>
  </si>
  <si>
    <r>
      <rPr>
        <sz val="10"/>
        <rFont val="Arial"/>
        <family val="0"/>
        <charset val="1"/>
      </rPr>
      <t xml:space="preserve">Burns </t>
    </r>
    <r>
      <rPr>
        <sz val="10"/>
        <rFont val="WenQuanYi Zen Hei"/>
        <family val="2"/>
      </rPr>
      <t xml:space="preserve">后缺解释 </t>
    </r>
    <r>
      <rPr>
        <sz val="10"/>
        <rFont val="Arial"/>
        <family val="0"/>
        <charset val="1"/>
      </rPr>
      <t xml:space="preserve">(</t>
    </r>
    <r>
      <rPr>
        <sz val="10"/>
        <rFont val="WenQuanYi Zen Hei"/>
        <family val="2"/>
      </rPr>
      <t xml:space="preserve">批注 </t>
    </r>
    <r>
      <rPr>
        <sz val="10"/>
        <rFont val="Arial"/>
        <family val="0"/>
        <charset val="1"/>
      </rPr>
      <t xml:space="preserve">#2)</t>
    </r>
    <r>
      <rPr>
        <sz val="10"/>
        <rFont val="WenQuanYi Zen Hei"/>
        <family val="2"/>
      </rPr>
      <t xml:space="preserve">。</t>
    </r>
  </si>
  <si>
    <r>
      <rPr>
        <sz val="10"/>
        <rFont val="WenQuanYi Zen Hei"/>
        <family val="2"/>
      </rPr>
      <t xml:space="preserve">每段证据后加一句 </t>
    </r>
    <r>
      <rPr>
        <sz val="10"/>
        <rFont val="Arial"/>
        <family val="0"/>
        <charset val="1"/>
      </rPr>
      <t xml:space="preserve">"This suggests that... limits/supports families' use..."</t>
    </r>
    <r>
      <rPr>
        <sz val="10"/>
        <rFont val="WenQuanYi Zen Hei"/>
        <family val="2"/>
      </rPr>
      <t xml:space="preserve">。</t>
    </r>
  </si>
  <si>
    <t xml:space="preserve">I restate the overall message from the literature.</t>
  </si>
  <si>
    <t xml:space="preserve">What are the main themes or patterns that emerge from the studies?</t>
  </si>
  <si>
    <t xml:space="preserve">旧结论的三个发现与新主题不一致。</t>
  </si>
  <si>
    <t xml:space="preserve">用三个新主题名各写一句。</t>
  </si>
  <si>
    <t xml:space="preserve">I highlight the research gap.</t>
  </si>
  <si>
    <t xml:space="preserve">What is missing, unclear or underexplored in the existing literature?</t>
  </si>
  <si>
    <r>
      <rPr>
        <sz val="10"/>
        <rFont val="WenQuanYi Zen Hei"/>
        <family val="2"/>
      </rPr>
      <t xml:space="preserve">有 </t>
    </r>
    <r>
      <rPr>
        <sz val="10"/>
        <rFont val="Arial"/>
        <family val="0"/>
        <charset val="1"/>
      </rPr>
      <t xml:space="preserve">"What remains unclear..."</t>
    </r>
    <r>
      <rPr>
        <sz val="10"/>
        <rFont val="WenQuanYi Zen Hei"/>
        <family val="2"/>
      </rPr>
      <t xml:space="preserve">，但对应旧焦点。</t>
    </r>
  </si>
  <si>
    <t xml:space="preserve">改为“理解 → 支持 → 使用”在多伦多的过程不清楚。</t>
  </si>
  <si>
    <t xml:space="preserve">I explain the significance of the gap.</t>
  </si>
  <si>
    <t xml:space="preserve">Why does this gap matter for research, practice, policy or future research?</t>
  </si>
  <si>
    <t xml:space="preserve">加一句对托育中心与教育者实践的意义。</t>
  </si>
  <si>
    <t xml:space="preserve">I show the need for my study.</t>
  </si>
  <si>
    <t xml:space="preserve">How will my research address this gap?</t>
  </si>
  <si>
    <t xml:space="preserve">有，但两段重复。</t>
  </si>
  <si>
    <t xml:space="preserve">合并成一段，删除重复。</t>
  </si>
  <si>
    <t xml:space="preserve">I connect the gap to my research question or purpose.</t>
  </si>
  <si>
    <t xml:space="preserve">How does this conclusion lead to my research question, purpose or next steps?</t>
  </si>
  <si>
    <r>
      <rPr>
        <sz val="10"/>
        <rFont val="Arial"/>
        <family val="0"/>
        <charset val="1"/>
      </rPr>
      <t xml:space="preserve">RQ </t>
    </r>
    <r>
      <rPr>
        <sz val="10"/>
        <rFont val="WenQuanYi Zen Hei"/>
        <family val="2"/>
      </rPr>
      <t xml:space="preserve">有两版。</t>
    </r>
  </si>
  <si>
    <r>
      <rPr>
        <sz val="10"/>
        <rFont val="WenQuanYi Zen Hei"/>
        <family val="2"/>
      </rPr>
      <t xml:space="preserve">结论最后一句直接引出唯一的 </t>
    </r>
    <r>
      <rPr>
        <sz val="10"/>
        <rFont val="Arial"/>
        <family val="0"/>
        <charset val="1"/>
      </rPr>
      <t xml:space="preserve">RQ</t>
    </r>
    <r>
      <rPr>
        <sz val="10"/>
        <rFont val="WenQuanYi Zen Hei"/>
        <family val="2"/>
      </rPr>
      <t xml:space="preserve">。</t>
    </r>
  </si>
  <si>
    <t xml:space="preserve">I end with a strong, clear closing statement.</t>
  </si>
  <si>
    <t xml:space="preserve">Have I provided a final sentence that summarizes the importance of the gap and sets up my study?</t>
  </si>
  <si>
    <t xml:space="preserve">结尾句较长、信息多。</t>
  </si>
  <si>
    <t xml:space="preserve">一句话：为什么需要研究多伦多新移民家庭如何在支持下理解并使用资源。</t>
  </si>
  <si>
    <r>
      <rPr>
        <b val="true"/>
        <sz val="14"/>
        <color rgb="FF1F3864"/>
        <rFont val="WenQuanYi Zen Hei"/>
        <family val="2"/>
      </rPr>
      <t xml:space="preserve">来源数量核对 </t>
    </r>
    <r>
      <rPr>
        <b val="true"/>
        <sz val="14"/>
        <color rgb="FF1F3864"/>
        <rFont val="Arial"/>
        <family val="0"/>
        <charset val="1"/>
      </rPr>
      <t xml:space="preserve">(</t>
    </r>
    <r>
      <rPr>
        <b val="true"/>
        <sz val="14"/>
        <color rgb="FF1F3864"/>
        <rFont val="WenQuanYi Zen Hei"/>
        <family val="2"/>
      </rPr>
      <t xml:space="preserve">公式自动计算：改动“</t>
    </r>
    <r>
      <rPr>
        <b val="true"/>
        <sz val="14"/>
        <color rgb="FF1F3864"/>
        <rFont val="Arial"/>
        <family val="0"/>
        <charset val="1"/>
      </rPr>
      <t xml:space="preserve">3_</t>
    </r>
    <r>
      <rPr>
        <b val="true"/>
        <sz val="14"/>
        <color rgb="FF1F3864"/>
        <rFont val="WenQuanYi Zen Hei"/>
        <family val="2"/>
      </rPr>
      <t xml:space="preserve">现有文献”</t>
    </r>
    <r>
      <rPr>
        <b val="true"/>
        <sz val="14"/>
        <color rgb="FF1F3864"/>
        <rFont val="Arial"/>
        <family val="0"/>
        <charset val="1"/>
      </rPr>
      <t xml:space="preserve">R </t>
    </r>
    <r>
      <rPr>
        <b val="true"/>
        <sz val="14"/>
        <color rgb="FF1F3864"/>
        <rFont val="WenQuanYi Zen Hei"/>
        <family val="2"/>
      </rPr>
      <t xml:space="preserve">列或“</t>
    </r>
    <r>
      <rPr>
        <b val="true"/>
        <sz val="14"/>
        <color rgb="FF1F3864"/>
        <rFont val="Arial"/>
        <family val="0"/>
        <charset val="1"/>
      </rPr>
      <t xml:space="preserve">5_</t>
    </r>
    <r>
      <rPr>
        <b val="true"/>
        <sz val="14"/>
        <color rgb="FF1F3864"/>
        <rFont val="WenQuanYi Zen Hei"/>
        <family val="2"/>
      </rPr>
      <t xml:space="preserve">新增文献”</t>
    </r>
    <r>
      <rPr>
        <b val="true"/>
        <sz val="14"/>
        <color rgb="FF1F3864"/>
        <rFont val="Arial"/>
        <family val="0"/>
        <charset val="1"/>
      </rPr>
      <t xml:space="preserve">L </t>
    </r>
    <r>
      <rPr>
        <b val="true"/>
        <sz val="14"/>
        <color rgb="FF1F3864"/>
        <rFont val="WenQuanYi Zen Hei"/>
        <family val="2"/>
      </rPr>
      <t xml:space="preserve">列的 是</t>
    </r>
    <r>
      <rPr>
        <b val="true"/>
        <sz val="14"/>
        <color rgb="FF1F3864"/>
        <rFont val="Arial"/>
        <family val="0"/>
        <charset val="1"/>
      </rPr>
      <t xml:space="preserve">/</t>
    </r>
    <r>
      <rPr>
        <b val="true"/>
        <sz val="14"/>
        <color rgb="FF1F3864"/>
        <rFont val="WenQuanYi Zen Hei"/>
        <family val="2"/>
      </rPr>
      <t xml:space="preserve">否</t>
    </r>
    <r>
      <rPr>
        <b val="true"/>
        <sz val="14"/>
        <color rgb="FF1F3864"/>
        <rFont val="Arial"/>
        <family val="0"/>
        <charset val="1"/>
      </rPr>
      <t xml:space="preserve">/</t>
    </r>
    <r>
      <rPr>
        <b val="true"/>
        <sz val="14"/>
        <color rgb="FF1F3864"/>
        <rFont val="WenQuanYi Zen Hei"/>
        <family val="2"/>
      </rPr>
      <t xml:space="preserve">待定，这里会自动更新</t>
    </r>
    <r>
      <rPr>
        <b val="true"/>
        <sz val="14"/>
        <color rgb="FF1F3864"/>
        <rFont val="Arial"/>
        <family val="0"/>
        <charset val="1"/>
      </rPr>
      <t xml:space="preserve">)</t>
    </r>
  </si>
  <si>
    <t xml:space="preserve">项目</t>
  </si>
  <si>
    <r>
      <rPr>
        <b val="true"/>
        <sz val="10"/>
        <color rgb="FFFFFFFF"/>
        <rFont val="WenQuanYi Zen Hei"/>
        <family val="2"/>
      </rPr>
      <t xml:space="preserve">现有文献 </t>
    </r>
    <r>
      <rPr>
        <b val="true"/>
        <sz val="10"/>
        <color rgb="FFFFFFFF"/>
        <rFont val="Arial"/>
        <family val="0"/>
        <charset val="1"/>
      </rPr>
      <t xml:space="preserve">(</t>
    </r>
    <r>
      <rPr>
        <b val="true"/>
        <sz val="10"/>
        <color rgb="FFFFFFFF"/>
        <rFont val="WenQuanYi Zen Hei"/>
        <family val="2"/>
      </rPr>
      <t xml:space="preserve">最终计入</t>
    </r>
    <r>
      <rPr>
        <b val="true"/>
        <sz val="10"/>
        <color rgb="FFFFFFFF"/>
        <rFont val="Arial"/>
        <family val="0"/>
        <charset val="1"/>
      </rPr>
      <t xml:space="preserve">=</t>
    </r>
    <r>
      <rPr>
        <b val="true"/>
        <sz val="10"/>
        <color rgb="FFFFFFFF"/>
        <rFont val="WenQuanYi Zen Hei"/>
        <family val="2"/>
      </rPr>
      <t xml:space="preserve">是</t>
    </r>
    <r>
      <rPr>
        <b val="true"/>
        <sz val="10"/>
        <color rgb="FFFFFFFF"/>
        <rFont val="Arial"/>
        <family val="0"/>
        <charset val="1"/>
      </rPr>
      <t xml:space="preserve">)</t>
    </r>
  </si>
  <si>
    <r>
      <rPr>
        <b val="true"/>
        <sz val="10"/>
        <color rgb="FFFFFFFF"/>
        <rFont val="WenQuanYi Zen Hei"/>
        <family val="2"/>
      </rPr>
      <t xml:space="preserve">新增文献 </t>
    </r>
    <r>
      <rPr>
        <b val="true"/>
        <sz val="10"/>
        <color rgb="FFFFFFFF"/>
        <rFont val="Arial"/>
        <family val="0"/>
        <charset val="1"/>
      </rPr>
      <t xml:space="preserve">(</t>
    </r>
    <r>
      <rPr>
        <b val="true"/>
        <sz val="10"/>
        <color rgb="FFFFFFFF"/>
        <rFont val="WenQuanYi Zen Hei"/>
        <family val="2"/>
      </rPr>
      <t xml:space="preserve">采用</t>
    </r>
    <r>
      <rPr>
        <b val="true"/>
        <sz val="10"/>
        <color rgb="FFFFFFFF"/>
        <rFont val="Arial"/>
        <family val="0"/>
        <charset val="1"/>
      </rPr>
      <t xml:space="preserve">=</t>
    </r>
    <r>
      <rPr>
        <b val="true"/>
        <sz val="10"/>
        <color rgb="FFFFFFFF"/>
        <rFont val="WenQuanYi Zen Hei"/>
        <family val="2"/>
      </rPr>
      <t xml:space="preserve">是</t>
    </r>
    <r>
      <rPr>
        <b val="true"/>
        <sz val="10"/>
        <color rgb="FFFFFFFF"/>
        <rFont val="Arial"/>
        <family val="0"/>
        <charset val="1"/>
      </rPr>
      <t xml:space="preserve">)</t>
    </r>
  </si>
  <si>
    <t xml:space="preserve">合计</t>
  </si>
  <si>
    <t xml:space="preserve">作业要求</t>
  </si>
  <si>
    <t xml:space="preserve">是否达标</t>
  </si>
  <si>
    <t xml:space="preserve">说明</t>
  </si>
  <si>
    <r>
      <rPr>
        <b val="true"/>
        <sz val="10"/>
        <rFont val="WenQuanYi Zen Hei"/>
        <family val="2"/>
      </rPr>
      <t xml:space="preserve">原始研究 </t>
    </r>
    <r>
      <rPr>
        <b val="true"/>
        <sz val="10"/>
        <rFont val="Arial"/>
        <family val="0"/>
        <charset val="1"/>
      </rPr>
      <t xml:space="preserve">(primary peer-reviewed)</t>
    </r>
  </si>
  <si>
    <r>
      <rPr>
        <sz val="10"/>
        <rFont val="Arial"/>
        <family val="0"/>
        <charset val="1"/>
      </rPr>
      <t xml:space="preserve">≥ 8 </t>
    </r>
    <r>
      <rPr>
        <sz val="10"/>
        <rFont val="WenQuanYi Zen Hei"/>
        <family val="2"/>
      </rPr>
      <t xml:space="preserve">篇 </t>
    </r>
    <r>
      <rPr>
        <sz val="10"/>
        <rFont val="Arial"/>
        <family val="0"/>
        <charset val="1"/>
      </rPr>
      <t xml:space="preserve">primary peer-reviewed</t>
    </r>
  </si>
  <si>
    <r>
      <rPr>
        <b val="true"/>
        <sz val="10"/>
        <rFont val="WenQuanYi Zen Hei"/>
        <family val="2"/>
      </rPr>
      <t xml:space="preserve">综述 </t>
    </r>
    <r>
      <rPr>
        <b val="true"/>
        <sz val="10"/>
        <rFont val="Arial"/>
        <family val="0"/>
        <charset val="1"/>
      </rPr>
      <t xml:space="preserve">(scoping review)</t>
    </r>
  </si>
  <si>
    <t xml:space="preserve">不计入原始研究，但计入总数</t>
  </si>
  <si>
    <r>
      <rPr>
        <b val="true"/>
        <sz val="10"/>
        <rFont val="WenQuanYi Zen Hei"/>
        <family val="2"/>
      </rPr>
      <t xml:space="preserve">政策 </t>
    </r>
    <r>
      <rPr>
        <b val="true"/>
        <sz val="10"/>
        <rFont val="Arial"/>
        <family val="0"/>
        <charset val="1"/>
      </rPr>
      <t xml:space="preserve">/ </t>
    </r>
    <r>
      <rPr>
        <b val="true"/>
        <sz val="10"/>
        <rFont val="WenQuanYi Zen Hei"/>
        <family val="2"/>
      </rPr>
      <t xml:space="preserve">政府 </t>
    </r>
    <r>
      <rPr>
        <b val="true"/>
        <sz val="10"/>
        <rFont val="Arial"/>
        <family val="0"/>
        <charset val="1"/>
      </rPr>
      <t xml:space="preserve">/ </t>
    </r>
    <r>
      <rPr>
        <b val="true"/>
        <sz val="10"/>
        <rFont val="WenQuanYi Zen Hei"/>
        <family val="2"/>
      </rPr>
      <t xml:space="preserve">组织文件</t>
    </r>
  </si>
  <si>
    <r>
      <rPr>
        <sz val="10"/>
        <rFont val="Arial"/>
        <family val="0"/>
        <charset val="1"/>
      </rPr>
      <t xml:space="preserve">≥ 4 </t>
    </r>
    <r>
      <rPr>
        <sz val="10"/>
        <rFont val="WenQuanYi Zen Hei"/>
        <family val="2"/>
      </rPr>
      <t xml:space="preserve">份 </t>
    </r>
    <r>
      <rPr>
        <sz val="10"/>
        <rFont val="Arial"/>
        <family val="0"/>
        <charset val="1"/>
      </rPr>
      <t xml:space="preserve">government / organizational / policy</t>
    </r>
  </si>
  <si>
    <t xml:space="preserve">总数</t>
  </si>
  <si>
    <r>
      <rPr>
        <sz val="10"/>
        <rFont val="Arial"/>
        <family val="0"/>
        <charset val="1"/>
      </rPr>
      <t xml:space="preserve">≥ 12 </t>
    </r>
    <r>
      <rPr>
        <sz val="10"/>
        <rFont val="WenQuanYi Zen Hei"/>
        <family val="2"/>
      </rPr>
      <t xml:space="preserve">份；所有来源要附 </t>
    </r>
    <r>
      <rPr>
        <sz val="10"/>
        <rFont val="Arial"/>
        <family val="0"/>
        <charset val="1"/>
      </rPr>
      <t xml:space="preserve">PDF </t>
    </r>
    <r>
      <rPr>
        <sz val="10"/>
        <rFont val="WenQuanYi Zen Hei"/>
        <family val="2"/>
      </rPr>
      <t xml:space="preserve">或链接</t>
    </r>
  </si>
  <si>
    <r>
      <rPr>
        <b val="true"/>
        <sz val="10"/>
        <rFont val="WenQuanYi Zen Hei"/>
        <family val="2"/>
      </rPr>
      <t xml:space="preserve">待定 </t>
    </r>
    <r>
      <rPr>
        <b val="true"/>
        <sz val="10"/>
        <rFont val="Arial"/>
        <family val="0"/>
        <charset val="1"/>
      </rPr>
      <t xml:space="preserve">(</t>
    </r>
    <r>
      <rPr>
        <b val="true"/>
        <sz val="10"/>
        <rFont val="WenQuanYi Zen Hei"/>
        <family val="2"/>
      </rPr>
      <t xml:space="preserve">尚未决定</t>
    </r>
    <r>
      <rPr>
        <b val="true"/>
        <sz val="10"/>
        <rFont val="Arial"/>
        <family val="0"/>
        <charset val="1"/>
      </rPr>
      <t xml:space="preserve">)</t>
    </r>
  </si>
  <si>
    <t xml:space="preserve">交稿前把“待定”都改成 是 或 否</t>
  </si>
  <si>
    <r>
      <rPr>
        <b val="true"/>
        <sz val="10"/>
        <rFont val="WenQuanYi Zen Hei"/>
        <family val="2"/>
      </rPr>
      <t xml:space="preserve">加拿大 </t>
    </r>
    <r>
      <rPr>
        <b val="true"/>
        <sz val="10"/>
        <rFont val="Arial"/>
        <family val="0"/>
        <charset val="1"/>
      </rPr>
      <t xml:space="preserve">/ </t>
    </r>
    <r>
      <rPr>
        <b val="true"/>
        <sz val="10"/>
        <rFont val="WenQuanYi Zen Hei"/>
        <family val="2"/>
      </rPr>
      <t xml:space="preserve">安省 </t>
    </r>
    <r>
      <rPr>
        <b val="true"/>
        <sz val="10"/>
        <rFont val="Arial"/>
        <family val="0"/>
        <charset val="1"/>
      </rPr>
      <t xml:space="preserve">/ </t>
    </r>
    <r>
      <rPr>
        <b val="true"/>
        <sz val="10"/>
        <rFont val="WenQuanYi Zen Hei"/>
        <family val="2"/>
      </rPr>
      <t xml:space="preserve">多伦多来源 </t>
    </r>
    <r>
      <rPr>
        <b val="true"/>
        <sz val="10"/>
        <rFont val="Arial"/>
        <family val="0"/>
        <charset val="1"/>
      </rPr>
      <t xml:space="preserve">(</t>
    </r>
    <r>
      <rPr>
        <b val="true"/>
        <sz val="10"/>
        <rFont val="WenQuanYi Zen Hei"/>
        <family val="2"/>
      </rPr>
      <t xml:space="preserve">计入</t>
    </r>
    <r>
      <rPr>
        <b val="true"/>
        <sz val="10"/>
        <rFont val="Arial"/>
        <family val="0"/>
        <charset val="1"/>
      </rPr>
      <t xml:space="preserve">)</t>
    </r>
  </si>
  <si>
    <r>
      <rPr>
        <sz val="10"/>
        <rFont val="WenQuanYi Zen Hei"/>
        <family val="2"/>
      </rPr>
      <t xml:space="preserve">教授：</t>
    </r>
    <r>
      <rPr>
        <sz val="10"/>
        <rFont val="Arial"/>
        <family val="0"/>
        <charset val="1"/>
      </rPr>
      <t xml:space="preserve">What is the literature saying about newcomer families in Canada? </t>
    </r>
    <r>
      <rPr>
        <sz val="10"/>
        <rFont val="WenQuanYi Zen Hei"/>
        <family val="2"/>
      </rPr>
      <t xml:space="preserve">新增表中的文献都是加拿大来源</t>
    </r>
  </si>
  <si>
    <r>
      <rPr>
        <sz val="10"/>
        <rFont val="WenQuanYi Zen Hei"/>
        <family val="2"/>
      </rPr>
      <t xml:space="preserve">说明：“现有文献”只统计 </t>
    </r>
    <r>
      <rPr>
        <sz val="10"/>
        <rFont val="Arial"/>
        <family val="0"/>
        <charset val="1"/>
      </rPr>
      <t xml:space="preserve">R </t>
    </r>
    <r>
      <rPr>
        <sz val="10"/>
        <rFont val="WenQuanYi Zen Hei"/>
        <family val="2"/>
      </rPr>
      <t xml:space="preserve">列为“是”的条目；</t>
    </r>
    <r>
      <rPr>
        <sz val="10"/>
        <rFont val="Arial"/>
        <family val="0"/>
        <charset val="1"/>
      </rPr>
      <t xml:space="preserve">Lund (2026) </t>
    </r>
    <r>
      <rPr>
        <sz val="10"/>
        <rFont val="WenQuanYi Zen Hei"/>
        <family val="2"/>
      </rPr>
      <t xml:space="preserve">若因篇幅删去，把 </t>
    </r>
    <r>
      <rPr>
        <sz val="10"/>
        <rFont val="Arial"/>
        <family val="0"/>
        <charset val="1"/>
      </rPr>
      <t xml:space="preserve">R </t>
    </r>
    <r>
      <rPr>
        <sz val="10"/>
        <rFont val="WenQuanYi Zen Hei"/>
        <family val="2"/>
      </rPr>
      <t xml:space="preserve">列改成“否”即可看到是否仍达标。</t>
    </r>
  </si>
  <si>
    <r>
      <rPr>
        <b val="true"/>
        <sz val="14"/>
        <color rgb="FF1F3864"/>
        <rFont val="WenQuanYi Zen Hei"/>
        <family val="2"/>
      </rPr>
      <t xml:space="preserve">计划保留的来源在各部分的分布 </t>
    </r>
    <r>
      <rPr>
        <b val="true"/>
        <sz val="14"/>
        <color rgb="FF1F3864"/>
        <rFont val="Arial"/>
        <family val="0"/>
        <charset val="1"/>
      </rPr>
      <t xml:space="preserve">(✓ = </t>
    </r>
    <r>
      <rPr>
        <b val="true"/>
        <sz val="14"/>
        <color rgb="FF1F3864"/>
        <rFont val="WenQuanYi Zen Hei"/>
        <family val="2"/>
      </rPr>
      <t xml:space="preserve">建议使用；来源是“</t>
    </r>
    <r>
      <rPr>
        <b val="true"/>
        <sz val="14"/>
        <color rgb="FF1F3864"/>
        <rFont val="Arial"/>
        <family val="0"/>
        <charset val="1"/>
      </rPr>
      <t xml:space="preserve">3_</t>
    </r>
    <r>
      <rPr>
        <b val="true"/>
        <sz val="14"/>
        <color rgb="FF1F3864"/>
        <rFont val="WenQuanYi Zen Hei"/>
        <family val="2"/>
      </rPr>
      <t xml:space="preserve">现有文献”</t>
    </r>
    <r>
      <rPr>
        <b val="true"/>
        <sz val="14"/>
        <color rgb="FF1F3864"/>
        <rFont val="Arial"/>
        <family val="0"/>
        <charset val="1"/>
      </rPr>
      <t xml:space="preserve">L </t>
    </r>
    <r>
      <rPr>
        <b val="true"/>
        <sz val="14"/>
        <color rgb="FF1F3864"/>
        <rFont val="WenQuanYi Zen Hei"/>
        <family val="2"/>
      </rPr>
      <t xml:space="preserve">列和“</t>
    </r>
    <r>
      <rPr>
        <b val="true"/>
        <sz val="14"/>
        <color rgb="FF1F3864"/>
        <rFont val="Arial"/>
        <family val="0"/>
        <charset val="1"/>
      </rPr>
      <t xml:space="preserve">5_</t>
    </r>
    <r>
      <rPr>
        <b val="true"/>
        <sz val="14"/>
        <color rgb="FF1F3864"/>
        <rFont val="WenQuanYi Zen Hei"/>
        <family val="2"/>
      </rPr>
      <t xml:space="preserve">新增文献”</t>
    </r>
    <r>
      <rPr>
        <b val="true"/>
        <sz val="14"/>
        <color rgb="FF1F3864"/>
        <rFont val="Arial"/>
        <family val="0"/>
        <charset val="1"/>
      </rPr>
      <t xml:space="preserve">F </t>
    </r>
    <r>
      <rPr>
        <b val="true"/>
        <sz val="14"/>
        <color rgb="FF1F3864"/>
        <rFont val="WenQuanYi Zen Hei"/>
        <family val="2"/>
      </rPr>
      <t xml:space="preserve">列</t>
    </r>
    <r>
      <rPr>
        <b val="true"/>
        <sz val="14"/>
        <color rgb="FF1F3864"/>
        <rFont val="Arial"/>
        <family val="0"/>
        <charset val="1"/>
      </rPr>
      <t xml:space="preserve">)</t>
    </r>
  </si>
  <si>
    <t xml:space="preserve">来源</t>
  </si>
  <si>
    <r>
      <rPr>
        <b val="true"/>
        <sz val="10"/>
        <color rgb="FFFFFFFF"/>
        <rFont val="WenQuanYi Zen Hei"/>
        <family val="2"/>
      </rPr>
      <t xml:space="preserve">加拿大</t>
    </r>
    <r>
      <rPr>
        <b val="true"/>
        <sz val="10"/>
        <color rgb="FFFFFFFF"/>
        <rFont val="Arial"/>
        <family val="0"/>
        <charset val="1"/>
      </rPr>
      <t xml:space="preserve">?</t>
    </r>
  </si>
  <si>
    <t xml:space="preserve">Intro</t>
  </si>
  <si>
    <r>
      <rPr>
        <sz val="10"/>
        <rFont val="WenQuanYi Zen Hei"/>
        <family val="2"/>
      </rPr>
      <t xml:space="preserve">现有</t>
    </r>
    <r>
      <rPr>
        <sz val="10"/>
        <rFont val="Arial"/>
        <family val="0"/>
        <charset val="1"/>
      </rPr>
      <t xml:space="preserve">·</t>
    </r>
    <r>
      <rPr>
        <sz val="10"/>
        <rFont val="WenQuanYi Zen Hei"/>
        <family val="2"/>
      </rPr>
      <t xml:space="preserve">是</t>
    </r>
  </si>
  <si>
    <t xml:space="preserve">✓</t>
  </si>
  <si>
    <r>
      <rPr>
        <sz val="10"/>
        <rFont val="WenQuanYi Zen Hei"/>
        <family val="2"/>
      </rPr>
      <t xml:space="preserve">现有</t>
    </r>
    <r>
      <rPr>
        <sz val="10"/>
        <rFont val="Arial"/>
        <family val="0"/>
        <charset val="1"/>
      </rPr>
      <t xml:space="preserve">·</t>
    </r>
    <r>
      <rPr>
        <sz val="10"/>
        <rFont val="WenQuanYi Zen Hei"/>
        <family val="2"/>
      </rPr>
      <t xml:space="preserve">待定</t>
    </r>
  </si>
  <si>
    <t xml:space="preserve">N01 Brown et al. (2020)</t>
  </si>
  <si>
    <r>
      <rPr>
        <sz val="10"/>
        <rFont val="WenQuanYi Zen Hei"/>
        <family val="2"/>
      </rPr>
      <t xml:space="preserve">新增</t>
    </r>
    <r>
      <rPr>
        <sz val="10"/>
        <rFont val="Arial"/>
        <family val="0"/>
        <charset val="1"/>
      </rPr>
      <t xml:space="preserve">·</t>
    </r>
    <r>
      <rPr>
        <sz val="10"/>
        <rFont val="WenQuanYi Zen Hei"/>
        <family val="2"/>
      </rPr>
      <t xml:space="preserve">是</t>
    </r>
  </si>
  <si>
    <t xml:space="preserve">N02 Ontario Ministry of Education (2014)</t>
  </si>
  <si>
    <t xml:space="preserve">N03 Toronto Children's Services (2025b) focus groups</t>
  </si>
  <si>
    <r>
      <rPr>
        <sz val="10"/>
        <rFont val="WenQuanYi Zen Hei"/>
        <family val="2"/>
      </rPr>
      <t xml:space="preserve">新增</t>
    </r>
    <r>
      <rPr>
        <sz val="10"/>
        <rFont val="Arial"/>
        <family val="0"/>
        <charset val="1"/>
      </rPr>
      <t xml:space="preserve">·</t>
    </r>
    <r>
      <rPr>
        <sz val="10"/>
        <rFont val="WenQuanYi Zen Hei"/>
        <family val="2"/>
      </rPr>
      <t xml:space="preserve">待定</t>
    </r>
  </si>
  <si>
    <t xml:space="preserve">N04 Massing, Gyan, et al. (2023)</t>
  </si>
  <si>
    <t xml:space="preserve">N05 Yohani et al. (2019)</t>
  </si>
  <si>
    <t xml:space="preserve">N06 Massing, Kirova, &amp; Hennig (2013)</t>
  </si>
  <si>
    <t xml:space="preserve">N07 Poureslami et al. (2013)</t>
  </si>
  <si>
    <t xml:space="preserve">N08 Kingsbury et al. (2021)</t>
  </si>
  <si>
    <t xml:space="preserve">N09 Jang (2020)</t>
  </si>
  <si>
    <t xml:space="preserve">N10 Khanlou et al. (2017)</t>
  </si>
  <si>
    <t xml:space="preserve">N11 Statistics Canada (2021)</t>
  </si>
  <si>
    <t xml:space="preserve">N15 Toronto precarious-status chapter (2025?)</t>
  </si>
  <si>
    <r>
      <rPr>
        <b val="true"/>
        <sz val="10"/>
        <rFont val="WenQuanYi Zen Hei"/>
        <family val="2"/>
      </rPr>
      <t xml:space="preserve">每部分来源数 </t>
    </r>
    <r>
      <rPr>
        <b val="true"/>
        <sz val="10"/>
        <rFont val="Arial"/>
        <family val="0"/>
        <charset val="1"/>
      </rPr>
      <t xml:space="preserve">(</t>
    </r>
    <r>
      <rPr>
        <b val="true"/>
        <sz val="10"/>
        <rFont val="WenQuanYi Zen Hei"/>
        <family val="2"/>
      </rPr>
      <t xml:space="preserve">只算状态为“是”</t>
    </r>
    <r>
      <rPr>
        <b val="true"/>
        <sz val="10"/>
        <rFont val="Arial"/>
        <family val="0"/>
        <charset val="1"/>
      </rPr>
      <t xml:space="preserve">)</t>
    </r>
  </si>
  <si>
    <r>
      <rPr>
        <b val="true"/>
        <sz val="10"/>
        <rFont val="WenQuanYi Zen Hei"/>
        <family val="2"/>
      </rPr>
      <t xml:space="preserve">其中加拿大来源数 </t>
    </r>
    <r>
      <rPr>
        <b val="true"/>
        <sz val="10"/>
        <rFont val="Arial"/>
        <family val="0"/>
        <charset val="1"/>
      </rPr>
      <t xml:space="preserve">(</t>
    </r>
    <r>
      <rPr>
        <b val="true"/>
        <sz val="10"/>
        <rFont val="WenQuanYi Zen Hei"/>
        <family val="2"/>
      </rPr>
      <t xml:space="preserve">只算状态为“是”</t>
    </r>
    <r>
      <rPr>
        <b val="true"/>
        <sz val="10"/>
        <rFont val="Arial"/>
        <family val="0"/>
        <charset val="1"/>
      </rPr>
      <t xml:space="preserve">)</t>
    </r>
  </si>
  <si>
    <t xml:space="preserve">若“待定”全部采用，每部分来源数</t>
  </si>
</sst>
</file>

<file path=xl/styles.xml><?xml version="1.0" encoding="utf-8"?>
<styleSheet xmlns="http://schemas.openxmlformats.org/spreadsheetml/2006/main">
  <numFmts count="2">
    <numFmt numFmtId="164" formatCode="General"/>
    <numFmt numFmtId="165"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4"/>
      <color rgb="FF1F3864"/>
      <name val="WenQuanYi Zen Hei"/>
      <family val="2"/>
    </font>
    <font>
      <sz val="10"/>
      <name val="WenQuanYi Zen Hei"/>
      <family val="2"/>
    </font>
    <font>
      <sz val="10"/>
      <name val="Arial"/>
      <family val="0"/>
      <charset val="1"/>
    </font>
    <font>
      <b val="true"/>
      <sz val="10"/>
      <name val="WenQuanYi Zen Hei"/>
      <family val="2"/>
    </font>
    <font>
      <b val="true"/>
      <sz val="10"/>
      <name val="Arial"/>
      <family val="0"/>
      <charset val="1"/>
    </font>
    <font>
      <b val="true"/>
      <sz val="10"/>
      <color rgb="FFFFFFFF"/>
      <name val="WenQuanYi Zen Hei"/>
      <family val="2"/>
    </font>
    <font>
      <b val="true"/>
      <sz val="10"/>
      <color rgb="FFFFFFFF"/>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E2EFDA"/>
        <bgColor rgb="FFEDEDED"/>
      </patternFill>
    </fill>
    <fill>
      <patternFill patternType="solid">
        <fgColor rgb="FFFFF2CC"/>
        <bgColor rgb="FFEDEDED"/>
      </patternFill>
    </fill>
    <fill>
      <patternFill patternType="solid">
        <fgColor rgb="FFF8CBAD"/>
        <bgColor rgb="FFFFF2CC"/>
      </patternFill>
    </fill>
    <fill>
      <patternFill patternType="solid">
        <fgColor rgb="FFEDEDED"/>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0"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1" fillId="2" borderId="1" xfId="0" applyFont="true" applyBorder="true" applyAlignment="true" applyProtection="false">
      <alignment horizontal="general" vertical="center"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8CBAD"/>
          <bgColor rgb="FF000000"/>
        </patternFill>
      </fill>
    </dxf>
    <dxf>
      <fill>
        <patternFill patternType="solid">
          <fgColor rgb="FFFFF2CC"/>
          <bgColor rgb="FF000000"/>
        </patternFill>
      </fill>
    </dxf>
    <dxf>
      <fill>
        <patternFill>
          <bgColor rgb="FFF8CBAD"/>
        </patternFill>
      </fill>
    </dxf>
    <dxf>
      <fill>
        <patternFill>
          <bgColor rgb="FFFFF2CC"/>
        </patternFill>
      </fill>
    </dxf>
    <dxf>
      <fill>
        <patternFill patternType="solid">
          <fgColor rgb="FFE2EFDA"/>
          <bgColor rgb="FF000000"/>
        </patternFill>
      </fill>
    </dxf>
    <dxf>
      <fill>
        <patternFill patternType="solid">
          <fgColor rgb="FFEDEDED"/>
          <bgColor rgb="FF000000"/>
        </patternFill>
      </fill>
    </dxf>
    <dxf>
      <fill>
        <patternFill>
          <bgColor rgb="FFEDEDED"/>
        </patternFill>
      </fill>
    </dxf>
    <dxf>
      <fill>
        <patternFill>
          <bgColor rgb="FFE2EF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9.4" hidden="false" customHeight="false" outlineLevel="0" collapsed="false">
      <c r="A1" s="1" t="s">
        <v>0</v>
      </c>
    </row>
    <row r="2" customFormat="false" ht="15" hidden="false" customHeight="false" outlineLevel="0" collapsed="false">
      <c r="A2" s="2" t="s">
        <v>1</v>
      </c>
    </row>
    <row r="3" customFormat="false" ht="26.85" hidden="false" customHeight="false" outlineLevel="0" collapsed="false">
      <c r="A3" s="2" t="s">
        <v>2</v>
      </c>
    </row>
    <row r="4" customFormat="false" ht="15" hidden="false" customHeight="false" outlineLevel="0" collapsed="false">
      <c r="A4" s="2"/>
    </row>
    <row r="5" customFormat="false" ht="15" hidden="false" customHeight="false" outlineLevel="0" collapsed="false">
      <c r="A5" s="3" t="s">
        <v>3</v>
      </c>
    </row>
    <row r="6" customFormat="false" ht="15" hidden="false" customHeight="false" outlineLevel="0" collapsed="false">
      <c r="A6" s="4" t="s">
        <v>4</v>
      </c>
    </row>
    <row r="7" customFormat="false" ht="15" hidden="false" customHeight="false" outlineLevel="0" collapsed="false">
      <c r="A7" s="4" t="s">
        <v>5</v>
      </c>
    </row>
    <row r="8" customFormat="false" ht="15" hidden="false" customHeight="false" outlineLevel="0" collapsed="false">
      <c r="A8" s="4" t="s">
        <v>6</v>
      </c>
    </row>
    <row r="9" customFormat="false" ht="15" hidden="false" customHeight="false" outlineLevel="0" collapsed="false">
      <c r="A9" s="4" t="s">
        <v>7</v>
      </c>
    </row>
    <row r="10" customFormat="false" ht="15" hidden="false" customHeight="false" outlineLevel="0" collapsed="false">
      <c r="A10" s="4" t="s">
        <v>8</v>
      </c>
    </row>
    <row r="11" customFormat="false" ht="15" hidden="false" customHeight="false" outlineLevel="0" collapsed="false">
      <c r="A11" s="4" t="s">
        <v>9</v>
      </c>
    </row>
    <row r="12" customFormat="false" ht="15" hidden="false" customHeight="false" outlineLevel="0" collapsed="false">
      <c r="A12" s="4" t="s">
        <v>10</v>
      </c>
    </row>
    <row r="13" customFormat="false" ht="15" hidden="false" customHeight="false" outlineLevel="0" collapsed="false">
      <c r="A13" s="4" t="s">
        <v>11</v>
      </c>
    </row>
    <row r="14" customFormat="false" ht="15" hidden="false" customHeight="false" outlineLevel="0" collapsed="false">
      <c r="A14" s="2"/>
    </row>
    <row r="15" customFormat="false" ht="15" hidden="false" customHeight="false" outlineLevel="0" collapsed="false">
      <c r="A15" s="3" t="s">
        <v>12</v>
      </c>
    </row>
    <row r="16" customFormat="false" ht="15" hidden="false" customHeight="false" outlineLevel="0" collapsed="false">
      <c r="A16" s="2" t="s">
        <v>13</v>
      </c>
    </row>
    <row r="17" customFormat="false" ht="15" hidden="false" customHeight="false" outlineLevel="0" collapsed="false">
      <c r="A17" s="2"/>
    </row>
    <row r="18" customFormat="false" ht="15" hidden="false" customHeight="false" outlineLevel="0" collapsed="false">
      <c r="A18" s="3" t="s">
        <v>14</v>
      </c>
    </row>
    <row r="19" customFormat="false" ht="15" hidden="false" customHeight="false" outlineLevel="0" collapsed="false">
      <c r="A19" s="4" t="s">
        <v>15</v>
      </c>
    </row>
    <row r="20" customFormat="false" ht="15" hidden="false" customHeight="false" outlineLevel="0" collapsed="false">
      <c r="A20" s="2" t="s">
        <v>16</v>
      </c>
    </row>
    <row r="21" customFormat="false" ht="15" hidden="false" customHeight="false" outlineLevel="0" collapsed="false">
      <c r="A21" s="2"/>
    </row>
    <row r="22" customFormat="false" ht="15" hidden="false" customHeight="false" outlineLevel="0" collapsed="false">
      <c r="A22" s="3" t="s">
        <v>17</v>
      </c>
    </row>
    <row r="23" customFormat="false" ht="15" hidden="false" customHeight="false" outlineLevel="0" collapsed="false">
      <c r="A23" s="4" t="s">
        <v>18</v>
      </c>
    </row>
    <row r="24" customFormat="false" ht="15" hidden="false" customHeight="false" outlineLevel="0" collapsed="false">
      <c r="A24" s="4" t="s">
        <v>19</v>
      </c>
    </row>
    <row r="25" customFormat="false" ht="15" hidden="false" customHeight="false" outlineLevel="0" collapsed="false">
      <c r="A25" s="4" t="s">
        <v>20</v>
      </c>
    </row>
    <row r="26" customFormat="false" ht="15" hidden="false" customHeight="false" outlineLevel="0" collapsed="false">
      <c r="A26" s="4" t="s">
        <v>21</v>
      </c>
    </row>
    <row r="27" customFormat="false" ht="15" hidden="false" customHeight="false" outlineLevel="0" collapsed="false">
      <c r="A27" s="2"/>
    </row>
    <row r="28" customFormat="false" ht="15" hidden="false" customHeight="false" outlineLevel="0" collapsed="false">
      <c r="A28" s="3" t="s">
        <v>22</v>
      </c>
    </row>
    <row r="29" customFormat="false" ht="26.85" hidden="false" customHeight="false" outlineLevel="0" collapsed="false">
      <c r="A29" s="2"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28"/>
    <col collapsed="false" customWidth="true" hidden="false" outlineLevel="0" max="4" min="4" style="0" width="60"/>
    <col collapsed="false" customWidth="true" hidden="false" outlineLevel="0" max="5" min="5" style="0" width="34"/>
    <col collapsed="false" customWidth="true" hidden="false" outlineLevel="0" max="6" min="6" style="0" width="56"/>
    <col collapsed="false" customWidth="true" hidden="false" outlineLevel="0" max="7" min="7" style="0" width="7"/>
    <col collapsed="false" customWidth="true" hidden="false" outlineLevel="0" max="8" min="8" style="0" width="22"/>
  </cols>
  <sheetData>
    <row r="1" customFormat="false" ht="15" hidden="false" customHeight="false" outlineLevel="0" collapsed="false">
      <c r="A1" s="5" t="s">
        <v>24</v>
      </c>
      <c r="B1" s="5" t="s">
        <v>25</v>
      </c>
      <c r="C1" s="5" t="s">
        <v>26</v>
      </c>
      <c r="D1" s="5" t="s">
        <v>27</v>
      </c>
      <c r="E1" s="5" t="s">
        <v>28</v>
      </c>
      <c r="F1" s="5" t="s">
        <v>29</v>
      </c>
      <c r="G1" s="5" t="s">
        <v>30</v>
      </c>
      <c r="H1" s="5" t="s">
        <v>31</v>
      </c>
    </row>
    <row r="2" customFormat="false" ht="38.05" hidden="false" customHeight="false" outlineLevel="0" collapsed="false">
      <c r="A2" s="6" t="s">
        <v>32</v>
      </c>
      <c r="B2" s="6" t="s">
        <v>33</v>
      </c>
      <c r="C2" s="7" t="s">
        <v>34</v>
      </c>
      <c r="D2" s="6" t="s">
        <v>35</v>
      </c>
      <c r="E2" s="7" t="s">
        <v>36</v>
      </c>
      <c r="F2" s="7" t="s">
        <v>37</v>
      </c>
      <c r="G2" s="7" t="s">
        <v>38</v>
      </c>
      <c r="H2" s="7" t="s">
        <v>39</v>
      </c>
    </row>
    <row r="3" customFormat="false" ht="46.25" hidden="false" customHeight="false" outlineLevel="0" collapsed="false">
      <c r="A3" s="6" t="s">
        <v>40</v>
      </c>
      <c r="B3" s="6" t="s">
        <v>41</v>
      </c>
      <c r="C3" s="6" t="s">
        <v>42</v>
      </c>
      <c r="D3" s="6" t="s">
        <v>43</v>
      </c>
      <c r="E3" s="7" t="s">
        <v>44</v>
      </c>
      <c r="F3" s="7" t="s">
        <v>45</v>
      </c>
      <c r="G3" s="7" t="s">
        <v>38</v>
      </c>
      <c r="H3" s="6" t="s">
        <v>46</v>
      </c>
    </row>
    <row r="4" customFormat="false" ht="26.85" hidden="false" customHeight="false" outlineLevel="0" collapsed="false">
      <c r="A4" s="6" t="s">
        <v>47</v>
      </c>
      <c r="B4" s="6" t="s">
        <v>48</v>
      </c>
      <c r="C4" s="6" t="s">
        <v>49</v>
      </c>
      <c r="D4" s="6" t="s">
        <v>50</v>
      </c>
      <c r="E4" s="7" t="s">
        <v>51</v>
      </c>
      <c r="F4" s="7" t="s">
        <v>52</v>
      </c>
      <c r="G4" s="7" t="s">
        <v>38</v>
      </c>
      <c r="H4" s="6" t="s">
        <v>53</v>
      </c>
    </row>
    <row r="5" customFormat="false" ht="36.55" hidden="false" customHeight="false" outlineLevel="0" collapsed="false">
      <c r="A5" s="6" t="s">
        <v>54</v>
      </c>
      <c r="B5" s="6" t="s">
        <v>55</v>
      </c>
      <c r="C5" s="6" t="s">
        <v>56</v>
      </c>
      <c r="D5" s="6" t="s">
        <v>57</v>
      </c>
      <c r="E5" s="7" t="s">
        <v>58</v>
      </c>
      <c r="F5" s="7" t="s">
        <v>59</v>
      </c>
      <c r="G5" s="7" t="s">
        <v>38</v>
      </c>
      <c r="H5" s="6" t="s">
        <v>60</v>
      </c>
    </row>
    <row r="6" customFormat="false" ht="26.85" hidden="false" customHeight="false" outlineLevel="0" collapsed="false">
      <c r="A6" s="6" t="s">
        <v>61</v>
      </c>
      <c r="B6" s="6" t="s">
        <v>62</v>
      </c>
      <c r="C6" s="6" t="s">
        <v>63</v>
      </c>
      <c r="D6" s="6" t="s">
        <v>64</v>
      </c>
      <c r="E6" s="7" t="s">
        <v>65</v>
      </c>
      <c r="F6" s="7" t="s">
        <v>66</v>
      </c>
      <c r="G6" s="7" t="s">
        <v>38</v>
      </c>
      <c r="H6" s="6" t="s">
        <v>53</v>
      </c>
    </row>
    <row r="7" customFormat="false" ht="50.7" hidden="false" customHeight="false" outlineLevel="0" collapsed="false">
      <c r="A7" s="6" t="s">
        <v>67</v>
      </c>
      <c r="B7" s="6" t="s">
        <v>68</v>
      </c>
      <c r="C7" s="6" t="s">
        <v>69</v>
      </c>
      <c r="D7" s="6" t="s">
        <v>70</v>
      </c>
      <c r="E7" s="7" t="s">
        <v>71</v>
      </c>
      <c r="F7" s="7" t="s">
        <v>72</v>
      </c>
      <c r="G7" s="7" t="s">
        <v>38</v>
      </c>
      <c r="H7" s="6" t="s">
        <v>73</v>
      </c>
    </row>
    <row r="8" customFormat="false" ht="49.25" hidden="false" customHeight="false" outlineLevel="0" collapsed="false">
      <c r="A8" s="6" t="s">
        <v>74</v>
      </c>
      <c r="B8" s="6" t="s">
        <v>75</v>
      </c>
      <c r="C8" s="6" t="s">
        <v>76</v>
      </c>
      <c r="D8" s="6" t="s">
        <v>77</v>
      </c>
      <c r="E8" s="7" t="s">
        <v>78</v>
      </c>
      <c r="F8" s="7" t="s">
        <v>79</v>
      </c>
      <c r="G8" s="7" t="s">
        <v>38</v>
      </c>
      <c r="H8" s="6" t="s">
        <v>80</v>
      </c>
    </row>
    <row r="9" customFormat="false" ht="35.05" hidden="false" customHeight="false" outlineLevel="0" collapsed="false">
      <c r="A9" s="6" t="s">
        <v>81</v>
      </c>
      <c r="B9" s="6" t="s">
        <v>82</v>
      </c>
      <c r="C9" s="7" t="s">
        <v>83</v>
      </c>
      <c r="D9" s="6" t="s">
        <v>84</v>
      </c>
      <c r="E9" s="7" t="s">
        <v>85</v>
      </c>
      <c r="F9" s="7" t="s">
        <v>86</v>
      </c>
      <c r="G9" s="7" t="s">
        <v>87</v>
      </c>
      <c r="H9" s="6" t="s">
        <v>53</v>
      </c>
    </row>
    <row r="10" customFormat="false" ht="47.75" hidden="false" customHeight="false" outlineLevel="0" collapsed="false">
      <c r="A10" s="6" t="s">
        <v>88</v>
      </c>
      <c r="B10" s="6" t="s">
        <v>89</v>
      </c>
      <c r="C10" s="6" t="s">
        <v>90</v>
      </c>
      <c r="D10" s="6" t="s">
        <v>91</v>
      </c>
      <c r="E10" s="6" t="s">
        <v>92</v>
      </c>
      <c r="F10" s="6" t="s">
        <v>93</v>
      </c>
      <c r="G10" s="7" t="s">
        <v>38</v>
      </c>
      <c r="H10" s="6" t="s">
        <v>94</v>
      </c>
    </row>
    <row r="11" customFormat="false" ht="39.55" hidden="false" customHeight="false" outlineLevel="0" collapsed="false">
      <c r="A11" s="6" t="s">
        <v>95</v>
      </c>
      <c r="B11" s="6" t="s">
        <v>96</v>
      </c>
      <c r="C11" s="6" t="s">
        <v>97</v>
      </c>
      <c r="D11" s="6" t="s">
        <v>98</v>
      </c>
      <c r="E11" s="7" t="s">
        <v>99</v>
      </c>
      <c r="F11" s="7" t="s">
        <v>100</v>
      </c>
      <c r="G11" s="7" t="s">
        <v>38</v>
      </c>
      <c r="H11" s="6" t="s">
        <v>101</v>
      </c>
    </row>
    <row r="12" customFormat="false" ht="60.4" hidden="false" customHeight="false" outlineLevel="0" collapsed="false">
      <c r="A12" s="6" t="s">
        <v>102</v>
      </c>
      <c r="B12" s="6" t="s">
        <v>103</v>
      </c>
      <c r="C12" s="6" t="s">
        <v>104</v>
      </c>
      <c r="D12" s="6" t="s">
        <v>105</v>
      </c>
      <c r="E12" s="7" t="s">
        <v>106</v>
      </c>
      <c r="F12" s="7" t="s">
        <v>107</v>
      </c>
      <c r="G12" s="7" t="s">
        <v>38</v>
      </c>
      <c r="H12" s="7" t="s">
        <v>39</v>
      </c>
    </row>
    <row r="13" customFormat="false" ht="49.25" hidden="false" customHeight="false" outlineLevel="0" collapsed="false">
      <c r="A13" s="6" t="s">
        <v>108</v>
      </c>
      <c r="B13" s="6" t="s">
        <v>109</v>
      </c>
      <c r="C13" s="6" t="s">
        <v>110</v>
      </c>
      <c r="D13" s="7" t="s">
        <v>111</v>
      </c>
      <c r="E13" s="6" t="s">
        <v>112</v>
      </c>
      <c r="F13" s="7" t="s">
        <v>113</v>
      </c>
      <c r="G13" s="7" t="s">
        <v>38</v>
      </c>
      <c r="H13" s="6" t="s">
        <v>53</v>
      </c>
    </row>
    <row r="14" customFormat="false" ht="46.25" hidden="false" customHeight="false" outlineLevel="0" collapsed="false">
      <c r="A14" s="6" t="s">
        <v>114</v>
      </c>
      <c r="B14" s="6" t="s">
        <v>115</v>
      </c>
      <c r="C14" s="6" t="s">
        <v>116</v>
      </c>
      <c r="D14" s="6" t="s">
        <v>117</v>
      </c>
      <c r="E14" s="7" t="s">
        <v>118</v>
      </c>
      <c r="F14" s="7" t="s">
        <v>119</v>
      </c>
      <c r="G14" s="7" t="s">
        <v>38</v>
      </c>
      <c r="H14" s="6" t="s">
        <v>120</v>
      </c>
    </row>
    <row r="15" customFormat="false" ht="39.55" hidden="false" customHeight="false" outlineLevel="0" collapsed="false">
      <c r="A15" s="6" t="s">
        <v>121</v>
      </c>
      <c r="B15" s="6" t="s">
        <v>122</v>
      </c>
      <c r="C15" s="6" t="s">
        <v>123</v>
      </c>
      <c r="D15" s="6" t="s">
        <v>124</v>
      </c>
      <c r="E15" s="7" t="s">
        <v>125</v>
      </c>
      <c r="F15" s="7" t="s">
        <v>126</v>
      </c>
      <c r="G15" s="7" t="s">
        <v>38</v>
      </c>
      <c r="H15" s="6" t="s">
        <v>127</v>
      </c>
    </row>
    <row r="16" customFormat="false" ht="46.25" hidden="false" customHeight="false" outlineLevel="0" collapsed="false">
      <c r="A16" s="6" t="s">
        <v>128</v>
      </c>
      <c r="B16" s="6" t="s">
        <v>129</v>
      </c>
      <c r="C16" s="6" t="s">
        <v>130</v>
      </c>
      <c r="D16" s="6" t="s">
        <v>131</v>
      </c>
      <c r="E16" s="7" t="s">
        <v>132</v>
      </c>
      <c r="F16" s="7" t="s">
        <v>133</v>
      </c>
      <c r="G16" s="7" t="s">
        <v>38</v>
      </c>
      <c r="H16" s="6" t="s">
        <v>134</v>
      </c>
    </row>
    <row r="17" customFormat="false" ht="70.1" hidden="false" customHeight="false" outlineLevel="0" collapsed="false">
      <c r="A17" s="6" t="s">
        <v>135</v>
      </c>
      <c r="B17" s="6" t="s">
        <v>136</v>
      </c>
      <c r="C17" s="7" t="s">
        <v>137</v>
      </c>
      <c r="D17" s="6" t="s">
        <v>138</v>
      </c>
      <c r="E17" s="7" t="s">
        <v>139</v>
      </c>
      <c r="F17" s="7" t="s">
        <v>140</v>
      </c>
      <c r="G17" s="7" t="s">
        <v>38</v>
      </c>
      <c r="H17" s="7" t="s">
        <v>141</v>
      </c>
    </row>
    <row r="18" customFormat="false" ht="26.85" hidden="false" customHeight="false" outlineLevel="0" collapsed="false">
      <c r="A18" s="6" t="s">
        <v>142</v>
      </c>
      <c r="B18" s="6" t="s">
        <v>143</v>
      </c>
      <c r="C18" s="6" t="s">
        <v>144</v>
      </c>
      <c r="D18" s="6" t="s">
        <v>145</v>
      </c>
      <c r="E18" s="7" t="s">
        <v>146</v>
      </c>
      <c r="F18" s="7" t="s">
        <v>147</v>
      </c>
      <c r="G18" s="7" t="s">
        <v>38</v>
      </c>
      <c r="H18" s="6" t="s">
        <v>148</v>
      </c>
    </row>
    <row r="19" customFormat="false" ht="36.55" hidden="false" customHeight="false" outlineLevel="0" collapsed="false">
      <c r="A19" s="6" t="s">
        <v>149</v>
      </c>
      <c r="B19" s="6" t="s">
        <v>150</v>
      </c>
      <c r="C19" s="6" t="s">
        <v>151</v>
      </c>
      <c r="D19" s="6" t="s">
        <v>152</v>
      </c>
      <c r="E19" s="6" t="s">
        <v>153</v>
      </c>
      <c r="F19" s="7" t="s">
        <v>154</v>
      </c>
      <c r="G19" s="7" t="s">
        <v>38</v>
      </c>
      <c r="H19" s="6" t="s">
        <v>53</v>
      </c>
    </row>
    <row r="20" customFormat="false" ht="35.05" hidden="false" customHeight="false" outlineLevel="0" collapsed="false">
      <c r="A20" s="6" t="s">
        <v>155</v>
      </c>
      <c r="B20" s="6" t="s">
        <v>156</v>
      </c>
      <c r="C20" s="7" t="s">
        <v>157</v>
      </c>
      <c r="D20" s="6" t="s">
        <v>158</v>
      </c>
      <c r="E20" s="7" t="s">
        <v>159</v>
      </c>
      <c r="F20" s="7" t="s">
        <v>160</v>
      </c>
      <c r="G20" s="7" t="s">
        <v>38</v>
      </c>
      <c r="H20" s="6" t="s">
        <v>53</v>
      </c>
    </row>
    <row r="21" customFormat="false" ht="39.55" hidden="false" customHeight="false" outlineLevel="0" collapsed="false">
      <c r="A21" s="6" t="s">
        <v>161</v>
      </c>
      <c r="B21" s="6" t="s">
        <v>162</v>
      </c>
      <c r="C21" s="7" t="s">
        <v>163</v>
      </c>
      <c r="D21" s="6" t="s">
        <v>164</v>
      </c>
      <c r="E21" s="7" t="s">
        <v>165</v>
      </c>
      <c r="F21" s="7" t="s">
        <v>166</v>
      </c>
      <c r="G21" s="7" t="s">
        <v>167</v>
      </c>
      <c r="H21" s="6" t="s">
        <v>168</v>
      </c>
    </row>
    <row r="22" customFormat="false" ht="46.25" hidden="false" customHeight="false" outlineLevel="0" collapsed="false">
      <c r="A22" s="6" t="s">
        <v>169</v>
      </c>
      <c r="B22" s="6" t="s">
        <v>170</v>
      </c>
      <c r="C22" s="7" t="s">
        <v>171</v>
      </c>
      <c r="D22" s="6" t="s">
        <v>172</v>
      </c>
      <c r="E22" s="6" t="s">
        <v>173</v>
      </c>
      <c r="F22" s="7" t="s">
        <v>174</v>
      </c>
      <c r="G22" s="7" t="s">
        <v>38</v>
      </c>
      <c r="H22" s="6" t="s">
        <v>175</v>
      </c>
    </row>
    <row r="23" customFormat="false" ht="70.1" hidden="false" customHeight="false" outlineLevel="0" collapsed="false">
      <c r="A23" s="6" t="s">
        <v>176</v>
      </c>
      <c r="B23" s="6" t="s">
        <v>177</v>
      </c>
      <c r="C23" s="7" t="s">
        <v>178</v>
      </c>
      <c r="D23" s="6" t="s">
        <v>179</v>
      </c>
      <c r="E23" s="6" t="s">
        <v>180</v>
      </c>
      <c r="F23" s="6" t="s">
        <v>181</v>
      </c>
      <c r="G23" s="7" t="s">
        <v>38</v>
      </c>
      <c r="H23" s="7" t="s">
        <v>182</v>
      </c>
    </row>
    <row r="24" customFormat="false" ht="47.75" hidden="false" customHeight="false" outlineLevel="0" collapsed="false">
      <c r="A24" s="6" t="s">
        <v>183</v>
      </c>
      <c r="B24" s="6" t="s">
        <v>184</v>
      </c>
      <c r="C24" s="7" t="s">
        <v>185</v>
      </c>
      <c r="D24" s="6" t="s">
        <v>186</v>
      </c>
      <c r="E24" s="7" t="s">
        <v>187</v>
      </c>
      <c r="F24" s="7" t="s">
        <v>188</v>
      </c>
      <c r="G24" s="7" t="s">
        <v>38</v>
      </c>
      <c r="H24" s="7" t="s">
        <v>189</v>
      </c>
    </row>
    <row r="25" customFormat="false" ht="47.75" hidden="false" customHeight="false" outlineLevel="0" collapsed="false">
      <c r="A25" s="6" t="s">
        <v>190</v>
      </c>
      <c r="B25" s="6" t="s">
        <v>191</v>
      </c>
      <c r="C25" s="7" t="s">
        <v>192</v>
      </c>
      <c r="D25" s="6" t="s">
        <v>193</v>
      </c>
      <c r="E25" s="7" t="s">
        <v>194</v>
      </c>
      <c r="F25" s="7" t="s">
        <v>195</v>
      </c>
      <c r="G25" s="7" t="s">
        <v>38</v>
      </c>
      <c r="H25" s="7" t="s">
        <v>196</v>
      </c>
    </row>
    <row r="26" customFormat="false" ht="26.85" hidden="false" customHeight="false" outlineLevel="0" collapsed="false">
      <c r="A26" s="6" t="s">
        <v>197</v>
      </c>
      <c r="B26" s="6" t="s">
        <v>198</v>
      </c>
      <c r="C26" s="6" t="s">
        <v>199</v>
      </c>
      <c r="D26" s="6" t="s">
        <v>200</v>
      </c>
      <c r="E26" s="7" t="s">
        <v>201</v>
      </c>
      <c r="F26" s="7" t="s">
        <v>202</v>
      </c>
      <c r="G26" s="7" t="s">
        <v>38</v>
      </c>
      <c r="H26" s="6" t="s">
        <v>53</v>
      </c>
    </row>
    <row r="27" customFormat="false" ht="35.05" hidden="false" customHeight="false" outlineLevel="0" collapsed="false">
      <c r="A27" s="6" t="s">
        <v>203</v>
      </c>
      <c r="B27" s="6" t="s">
        <v>204</v>
      </c>
      <c r="C27" s="7" t="s">
        <v>205</v>
      </c>
      <c r="D27" s="6" t="s">
        <v>206</v>
      </c>
      <c r="E27" s="7" t="s">
        <v>207</v>
      </c>
      <c r="F27" s="7" t="s">
        <v>208</v>
      </c>
      <c r="G27" s="7" t="s">
        <v>38</v>
      </c>
      <c r="H27" s="6" t="s">
        <v>53</v>
      </c>
    </row>
    <row r="28" customFormat="false" ht="35.05" hidden="false" customHeight="false" outlineLevel="0" collapsed="false">
      <c r="A28" s="6" t="s">
        <v>209</v>
      </c>
      <c r="B28" s="6" t="s">
        <v>210</v>
      </c>
      <c r="C28" s="7" t="s">
        <v>211</v>
      </c>
      <c r="D28" s="6" t="s">
        <v>212</v>
      </c>
      <c r="E28" s="7" t="s">
        <v>213</v>
      </c>
      <c r="F28" s="7" t="s">
        <v>214</v>
      </c>
      <c r="G28" s="7" t="s">
        <v>167</v>
      </c>
      <c r="H28" s="6" t="s">
        <v>53</v>
      </c>
    </row>
    <row r="29" customFormat="false" ht="102.2" hidden="false" customHeight="false" outlineLevel="0" collapsed="false">
      <c r="A29" s="6" t="s">
        <v>215</v>
      </c>
      <c r="B29" s="6" t="s">
        <v>216</v>
      </c>
      <c r="C29" s="6" t="s">
        <v>217</v>
      </c>
      <c r="D29" s="6" t="s">
        <v>218</v>
      </c>
      <c r="E29" s="7" t="s">
        <v>219</v>
      </c>
      <c r="F29" s="7" t="s">
        <v>220</v>
      </c>
      <c r="G29" s="7" t="s">
        <v>38</v>
      </c>
      <c r="H29" s="6" t="s">
        <v>221</v>
      </c>
    </row>
    <row r="30" customFormat="false" ht="46.25" hidden="false" customHeight="false" outlineLevel="0" collapsed="false">
      <c r="A30" s="6" t="s">
        <v>222</v>
      </c>
      <c r="B30" s="6" t="s">
        <v>223</v>
      </c>
      <c r="C30" s="6" t="s">
        <v>224</v>
      </c>
      <c r="D30" s="6" t="s">
        <v>225</v>
      </c>
      <c r="E30" s="7" t="s">
        <v>226</v>
      </c>
      <c r="F30" s="6" t="s">
        <v>227</v>
      </c>
      <c r="G30" s="7" t="s">
        <v>38</v>
      </c>
      <c r="H30" s="6" t="s">
        <v>53</v>
      </c>
    </row>
    <row r="31" customFormat="false" ht="35.05" hidden="false" customHeight="false" outlineLevel="0" collapsed="false">
      <c r="A31" s="6" t="s">
        <v>228</v>
      </c>
      <c r="B31" s="6" t="s">
        <v>229</v>
      </c>
      <c r="C31" s="7" t="s">
        <v>205</v>
      </c>
      <c r="D31" s="6" t="s">
        <v>230</v>
      </c>
      <c r="E31" s="7" t="s">
        <v>231</v>
      </c>
      <c r="F31" s="7" t="s">
        <v>232</v>
      </c>
      <c r="G31" s="7" t="s">
        <v>167</v>
      </c>
      <c r="H31" s="6" t="s">
        <v>53</v>
      </c>
    </row>
    <row r="32" customFormat="false" ht="26.85" hidden="false" customHeight="false" outlineLevel="0" collapsed="false">
      <c r="A32" s="6" t="s">
        <v>233</v>
      </c>
      <c r="B32" s="6" t="s">
        <v>234</v>
      </c>
      <c r="C32" s="7" t="s">
        <v>235</v>
      </c>
      <c r="D32" s="6" t="s">
        <v>236</v>
      </c>
      <c r="E32" s="7" t="s">
        <v>237</v>
      </c>
      <c r="F32" s="6" t="s">
        <v>53</v>
      </c>
      <c r="G32" s="7" t="s">
        <v>87</v>
      </c>
      <c r="H32" s="6" t="s">
        <v>53</v>
      </c>
    </row>
  </sheetData>
  <autoFilter ref="A1:H32"/>
  <conditionalFormatting sqref="G2:G32">
    <cfRule type="expression" priority="2" aboveAverage="0" equalAverage="0" bottom="0" percent="0" rank="0" text="" dxfId="5">
      <formula>$G2="必改"</formula>
    </cfRule>
    <cfRule type="expression" priority="3" aboveAverage="0" equalAverage="0" bottom="0" percent="0" rank="0" text="" dxfId="6">
      <formula>$G2="建议"</formula>
    </cfRule>
  </conditionalFormatting>
  <dataValidations count="1">
    <dataValidation allowBlank="true" errorStyle="stop" operator="between" showDropDown="false" showErrorMessage="false" showInputMessage="false" sqref="G2:G32" type="list">
      <formula1>"必改,建议,参考"</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60"/>
    <col collapsed="false" customWidth="true" hidden="false" outlineLevel="0" max="4" min="4" style="0" width="40"/>
    <col collapsed="false" customWidth="true" hidden="false" outlineLevel="0" max="5" min="5" style="0" width="32"/>
    <col collapsed="false" customWidth="true" hidden="false" outlineLevel="0" max="6" min="6" style="0" width="34"/>
    <col collapsed="false" customWidth="true" hidden="false" outlineLevel="0" max="7" min="7" style="0" width="12"/>
  </cols>
  <sheetData>
    <row r="1" customFormat="false" ht="26.85" hidden="false" customHeight="false" outlineLevel="0" collapsed="false">
      <c r="A1" s="5" t="s">
        <v>238</v>
      </c>
      <c r="B1" s="5" t="s">
        <v>239</v>
      </c>
      <c r="C1" s="5" t="s">
        <v>240</v>
      </c>
      <c r="D1" s="5" t="s">
        <v>241</v>
      </c>
      <c r="E1" s="5" t="s">
        <v>242</v>
      </c>
      <c r="F1" s="5" t="s">
        <v>243</v>
      </c>
      <c r="G1" s="5" t="s">
        <v>244</v>
      </c>
    </row>
    <row r="2" customFormat="false" ht="50.7" hidden="false" customHeight="false" outlineLevel="0" collapsed="false">
      <c r="A2" s="7" t="s">
        <v>245</v>
      </c>
      <c r="B2" s="7" t="s">
        <v>246</v>
      </c>
      <c r="C2" s="7" t="s">
        <v>247</v>
      </c>
      <c r="D2" s="6" t="s">
        <v>53</v>
      </c>
      <c r="E2" s="6" t="s">
        <v>53</v>
      </c>
      <c r="F2" s="7" t="s">
        <v>248</v>
      </c>
      <c r="G2" s="6" t="s">
        <v>249</v>
      </c>
    </row>
    <row r="3" customFormat="false" ht="26.85" hidden="false" customHeight="false" outlineLevel="0" collapsed="false">
      <c r="A3" s="6" t="s">
        <v>250</v>
      </c>
      <c r="B3" s="6" t="s">
        <v>251</v>
      </c>
      <c r="C3" s="7" t="s">
        <v>252</v>
      </c>
      <c r="D3" s="6" t="s">
        <v>253</v>
      </c>
      <c r="E3" s="7" t="s">
        <v>254</v>
      </c>
      <c r="F3" s="6" t="s">
        <v>255</v>
      </c>
      <c r="G3" s="6" t="s">
        <v>256</v>
      </c>
    </row>
    <row r="4" customFormat="false" ht="26.85" hidden="false" customHeight="false" outlineLevel="0" collapsed="false">
      <c r="A4" s="6" t="s">
        <v>250</v>
      </c>
      <c r="B4" s="6" t="s">
        <v>257</v>
      </c>
      <c r="C4" s="7" t="s">
        <v>258</v>
      </c>
      <c r="D4" s="6" t="s">
        <v>259</v>
      </c>
      <c r="E4" s="7" t="s">
        <v>260</v>
      </c>
      <c r="F4" s="7" t="s">
        <v>261</v>
      </c>
      <c r="G4" s="6" t="s">
        <v>40</v>
      </c>
    </row>
    <row r="5" customFormat="false" ht="26.85" hidden="false" customHeight="false" outlineLevel="0" collapsed="false">
      <c r="A5" s="6" t="s">
        <v>250</v>
      </c>
      <c r="B5" s="6" t="s">
        <v>262</v>
      </c>
      <c r="C5" s="6" t="s">
        <v>263</v>
      </c>
      <c r="D5" s="6" t="s">
        <v>264</v>
      </c>
      <c r="E5" s="7" t="s">
        <v>265</v>
      </c>
      <c r="F5" s="6" t="s">
        <v>266</v>
      </c>
      <c r="G5" s="6" t="s">
        <v>267</v>
      </c>
    </row>
    <row r="6" customFormat="false" ht="26.85" hidden="false" customHeight="false" outlineLevel="0" collapsed="false">
      <c r="A6" s="6" t="s">
        <v>250</v>
      </c>
      <c r="B6" s="6" t="s">
        <v>268</v>
      </c>
      <c r="C6" s="7" t="s">
        <v>269</v>
      </c>
      <c r="D6" s="6" t="s">
        <v>53</v>
      </c>
      <c r="E6" s="6" t="s">
        <v>53</v>
      </c>
      <c r="F6" s="6" t="s">
        <v>270</v>
      </c>
      <c r="G6" s="6" t="s">
        <v>271</v>
      </c>
    </row>
    <row r="7" customFormat="false" ht="38.05" hidden="false" customHeight="false" outlineLevel="0" collapsed="false">
      <c r="A7" s="6" t="s">
        <v>272</v>
      </c>
      <c r="B7" s="6" t="s">
        <v>273</v>
      </c>
      <c r="C7" s="7" t="s">
        <v>274</v>
      </c>
      <c r="D7" s="6" t="s">
        <v>53</v>
      </c>
      <c r="E7" s="6" t="s">
        <v>53</v>
      </c>
      <c r="F7" s="6" t="s">
        <v>275</v>
      </c>
      <c r="G7" s="6" t="s">
        <v>276</v>
      </c>
    </row>
    <row r="8" customFormat="false" ht="26.85" hidden="false" customHeight="false" outlineLevel="0" collapsed="false">
      <c r="A8" s="6" t="s">
        <v>277</v>
      </c>
      <c r="B8" s="6" t="s">
        <v>278</v>
      </c>
      <c r="C8" s="7" t="s">
        <v>279</v>
      </c>
      <c r="D8" s="6" t="s">
        <v>94</v>
      </c>
      <c r="E8" s="7" t="s">
        <v>280</v>
      </c>
      <c r="F8" s="6" t="s">
        <v>53</v>
      </c>
      <c r="G8" s="6" t="s">
        <v>88</v>
      </c>
    </row>
    <row r="9" customFormat="false" ht="64.9" hidden="false" customHeight="false" outlineLevel="0" collapsed="false">
      <c r="A9" s="6" t="s">
        <v>277</v>
      </c>
      <c r="B9" s="6" t="s">
        <v>281</v>
      </c>
      <c r="C9" s="7" t="s">
        <v>282</v>
      </c>
      <c r="D9" s="6" t="s">
        <v>283</v>
      </c>
      <c r="E9" s="7" t="s">
        <v>284</v>
      </c>
      <c r="F9" s="6" t="s">
        <v>285</v>
      </c>
      <c r="G9" s="6" t="s">
        <v>286</v>
      </c>
    </row>
    <row r="10" customFormat="false" ht="26.85" hidden="false" customHeight="false" outlineLevel="0" collapsed="false">
      <c r="A10" s="6" t="s">
        <v>277</v>
      </c>
      <c r="B10" s="6" t="s">
        <v>287</v>
      </c>
      <c r="C10" s="7" t="s">
        <v>288</v>
      </c>
      <c r="D10" s="6" t="s">
        <v>289</v>
      </c>
      <c r="E10" s="6" t="s">
        <v>53</v>
      </c>
      <c r="F10" s="6" t="s">
        <v>290</v>
      </c>
      <c r="G10" s="6" t="s">
        <v>291</v>
      </c>
    </row>
    <row r="11" customFormat="false" ht="25.35" hidden="false" customHeight="false" outlineLevel="0" collapsed="false">
      <c r="A11" s="6" t="s">
        <v>277</v>
      </c>
      <c r="B11" s="6" t="s">
        <v>292</v>
      </c>
      <c r="C11" s="7" t="s">
        <v>293</v>
      </c>
      <c r="D11" s="6" t="s">
        <v>53</v>
      </c>
      <c r="E11" s="6" t="s">
        <v>53</v>
      </c>
      <c r="F11" s="6" t="s">
        <v>294</v>
      </c>
      <c r="G11" s="6" t="s">
        <v>128</v>
      </c>
    </row>
    <row r="12" customFormat="false" ht="46.25" hidden="false" customHeight="false" outlineLevel="0" collapsed="false">
      <c r="A12" s="6" t="s">
        <v>295</v>
      </c>
      <c r="B12" s="6" t="s">
        <v>296</v>
      </c>
      <c r="C12" s="6" t="s">
        <v>297</v>
      </c>
      <c r="D12" s="7" t="s">
        <v>298</v>
      </c>
      <c r="E12" s="7" t="s">
        <v>299</v>
      </c>
      <c r="F12" s="6" t="s">
        <v>300</v>
      </c>
      <c r="G12" s="6" t="s">
        <v>135</v>
      </c>
    </row>
    <row r="13" customFormat="false" ht="52.2" hidden="false" customHeight="false" outlineLevel="0" collapsed="false">
      <c r="A13" s="6" t="s">
        <v>301</v>
      </c>
      <c r="B13" s="6" t="s">
        <v>302</v>
      </c>
      <c r="C13" s="7" t="s">
        <v>303</v>
      </c>
      <c r="D13" s="6" t="s">
        <v>304</v>
      </c>
      <c r="E13" s="6" t="s">
        <v>305</v>
      </c>
      <c r="F13" s="6" t="s">
        <v>53</v>
      </c>
      <c r="G13" s="6" t="s">
        <v>306</v>
      </c>
    </row>
    <row r="14" customFormat="false" ht="38.05" hidden="false" customHeight="false" outlineLevel="0" collapsed="false">
      <c r="A14" s="6" t="s">
        <v>301</v>
      </c>
      <c r="B14" s="6" t="s">
        <v>307</v>
      </c>
      <c r="C14" s="7" t="s">
        <v>308</v>
      </c>
      <c r="D14" s="6" t="s">
        <v>309</v>
      </c>
      <c r="E14" s="6" t="s">
        <v>53</v>
      </c>
      <c r="F14" s="6" t="s">
        <v>310</v>
      </c>
      <c r="G14" s="6" t="s">
        <v>183</v>
      </c>
    </row>
    <row r="15" customFormat="false" ht="26.85" hidden="false" customHeight="false" outlineLevel="0" collapsed="false">
      <c r="A15" s="6" t="s">
        <v>301</v>
      </c>
      <c r="B15" s="6" t="s">
        <v>311</v>
      </c>
      <c r="C15" s="7" t="s">
        <v>312</v>
      </c>
      <c r="D15" s="6" t="s">
        <v>313</v>
      </c>
      <c r="E15" s="6" t="s">
        <v>53</v>
      </c>
      <c r="F15" s="6" t="s">
        <v>314</v>
      </c>
      <c r="G15" s="6" t="s">
        <v>315</v>
      </c>
    </row>
    <row r="16" customFormat="false" ht="39.55" hidden="false" customHeight="false" outlineLevel="0" collapsed="false">
      <c r="A16" s="6" t="s">
        <v>301</v>
      </c>
      <c r="B16" s="6" t="s">
        <v>316</v>
      </c>
      <c r="C16" s="7" t="s">
        <v>317</v>
      </c>
      <c r="D16" s="6" t="s">
        <v>53</v>
      </c>
      <c r="E16" s="6" t="s">
        <v>53</v>
      </c>
      <c r="F16" s="6" t="s">
        <v>53</v>
      </c>
      <c r="G16" s="6" t="s">
        <v>149</v>
      </c>
    </row>
    <row r="17" customFormat="false" ht="36.55" hidden="false" customHeight="false" outlineLevel="0" collapsed="false">
      <c r="A17" s="6" t="s">
        <v>318</v>
      </c>
      <c r="B17" s="6" t="s">
        <v>273</v>
      </c>
      <c r="C17" s="7" t="s">
        <v>319</v>
      </c>
      <c r="D17" s="6" t="s">
        <v>53</v>
      </c>
      <c r="E17" s="6" t="s">
        <v>53</v>
      </c>
      <c r="F17" s="6" t="s">
        <v>320</v>
      </c>
      <c r="G17" s="6" t="s">
        <v>321</v>
      </c>
    </row>
    <row r="18" customFormat="false" ht="90.25" hidden="false" customHeight="false" outlineLevel="0" collapsed="false">
      <c r="A18" s="6" t="s">
        <v>322</v>
      </c>
      <c r="B18" s="6" t="s">
        <v>302</v>
      </c>
      <c r="C18" s="7" t="s">
        <v>323</v>
      </c>
      <c r="D18" s="6" t="s">
        <v>324</v>
      </c>
      <c r="E18" s="6" t="s">
        <v>325</v>
      </c>
      <c r="F18" s="6" t="s">
        <v>53</v>
      </c>
      <c r="G18" s="6" t="s">
        <v>326</v>
      </c>
    </row>
    <row r="19" customFormat="false" ht="26.85" hidden="false" customHeight="false" outlineLevel="0" collapsed="false">
      <c r="A19" s="6" t="s">
        <v>322</v>
      </c>
      <c r="B19" s="6" t="s">
        <v>307</v>
      </c>
      <c r="C19" s="7" t="s">
        <v>327</v>
      </c>
      <c r="D19" s="6" t="s">
        <v>328</v>
      </c>
      <c r="E19" s="6" t="s">
        <v>53</v>
      </c>
      <c r="F19" s="7" t="s">
        <v>329</v>
      </c>
      <c r="G19" s="6" t="s">
        <v>330</v>
      </c>
    </row>
    <row r="20" customFormat="false" ht="26.85" hidden="false" customHeight="false" outlineLevel="0" collapsed="false">
      <c r="A20" s="6" t="s">
        <v>322</v>
      </c>
      <c r="B20" s="6" t="s">
        <v>331</v>
      </c>
      <c r="C20" s="7" t="s">
        <v>332</v>
      </c>
      <c r="D20" s="6" t="s">
        <v>333</v>
      </c>
      <c r="E20" s="6" t="s">
        <v>53</v>
      </c>
      <c r="F20" s="6" t="s">
        <v>53</v>
      </c>
      <c r="G20" s="6" t="s">
        <v>176</v>
      </c>
    </row>
    <row r="21" customFormat="false" ht="26.85" hidden="false" customHeight="false" outlineLevel="0" collapsed="false">
      <c r="A21" s="6" t="s">
        <v>334</v>
      </c>
      <c r="B21" s="6" t="s">
        <v>335</v>
      </c>
      <c r="C21" s="7" t="s">
        <v>336</v>
      </c>
      <c r="D21" s="7" t="s">
        <v>337</v>
      </c>
      <c r="E21" s="6" t="s">
        <v>53</v>
      </c>
      <c r="F21" s="7" t="s">
        <v>338</v>
      </c>
      <c r="G21" s="6" t="s">
        <v>197</v>
      </c>
    </row>
    <row r="22" customFormat="false" ht="39.55" hidden="false" customHeight="false" outlineLevel="0" collapsed="false">
      <c r="A22" s="6" t="s">
        <v>334</v>
      </c>
      <c r="B22" s="6" t="s">
        <v>339</v>
      </c>
      <c r="C22" s="7" t="s">
        <v>340</v>
      </c>
      <c r="D22" s="6" t="s">
        <v>341</v>
      </c>
      <c r="E22" s="6" t="s">
        <v>342</v>
      </c>
      <c r="F22" s="6" t="s">
        <v>343</v>
      </c>
      <c r="G22" s="6" t="s">
        <v>344</v>
      </c>
    </row>
    <row r="23" customFormat="false" ht="26.85" hidden="false" customHeight="false" outlineLevel="0" collapsed="false">
      <c r="A23" s="6" t="s">
        <v>334</v>
      </c>
      <c r="B23" s="6" t="s">
        <v>345</v>
      </c>
      <c r="C23" s="7" t="s">
        <v>346</v>
      </c>
      <c r="D23" s="6" t="s">
        <v>347</v>
      </c>
      <c r="E23" s="7" t="s">
        <v>348</v>
      </c>
      <c r="F23" s="6" t="s">
        <v>53</v>
      </c>
      <c r="G23" s="6" t="s">
        <v>349</v>
      </c>
    </row>
    <row r="24" customFormat="false" ht="26.85" hidden="false" customHeight="false" outlineLevel="0" collapsed="false">
      <c r="A24" s="6" t="s">
        <v>350</v>
      </c>
      <c r="B24" s="7" t="s">
        <v>351</v>
      </c>
      <c r="C24" s="7" t="s">
        <v>352</v>
      </c>
      <c r="D24" s="6" t="s">
        <v>53</v>
      </c>
      <c r="E24" s="7" t="s">
        <v>353</v>
      </c>
      <c r="F24" s="7" t="s">
        <v>354</v>
      </c>
      <c r="G24" s="6" t="s">
        <v>344</v>
      </c>
    </row>
    <row r="25" customFormat="false" ht="26.85" hidden="false" customHeight="false" outlineLevel="0" collapsed="false">
      <c r="A25" s="6" t="s">
        <v>355</v>
      </c>
      <c r="B25" s="6" t="s">
        <v>356</v>
      </c>
      <c r="C25" s="6" t="s">
        <v>357</v>
      </c>
      <c r="D25" s="6" t="s">
        <v>358</v>
      </c>
      <c r="E25" s="7" t="s">
        <v>359</v>
      </c>
      <c r="F25" s="7" t="s">
        <v>360</v>
      </c>
      <c r="G25" s="6" t="s">
        <v>53</v>
      </c>
    </row>
  </sheetData>
  <autoFilter ref="A1:G2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16"/>
    <col collapsed="false" customWidth="true" hidden="false" outlineLevel="0" max="4" min="4" style="0" width="18"/>
    <col collapsed="false" customWidth="true" hidden="false" outlineLevel="0" max="5" min="5" style="0" width="22"/>
    <col collapsed="false" customWidth="true" hidden="false" outlineLevel="0" max="6" min="6" style="0" width="12"/>
    <col collapsed="false" customWidth="true" hidden="false" outlineLevel="0" max="7" min="7" style="0" width="22"/>
    <col collapsed="false" customWidth="true" hidden="false" outlineLevel="0" max="8" min="8" style="0" width="60"/>
    <col collapsed="false" customWidth="true" hidden="false" outlineLevel="0" max="9" min="9" style="0" width="12"/>
    <col collapsed="false" customWidth="true" hidden="false" outlineLevel="0" max="10" min="10" style="0" width="10"/>
    <col collapsed="false" customWidth="true" hidden="false" outlineLevel="0" max="11" min="11" style="0" width="16"/>
    <col collapsed="false" customWidth="true" hidden="false" outlineLevel="0" max="12" min="12" style="0" width="18"/>
    <col collapsed="false" customWidth="true" hidden="false" outlineLevel="0" max="13" min="13" style="0" width="60"/>
    <col collapsed="false" customWidth="true" hidden="false" outlineLevel="0" max="14" min="14" style="0" width="18"/>
    <col collapsed="false" customWidth="true" hidden="false" outlineLevel="0" max="16" min="15" style="0" width="16"/>
    <col collapsed="false" customWidth="true" hidden="false" outlineLevel="0" max="18" min="17" style="0" width="10"/>
  </cols>
  <sheetData>
    <row r="1" customFormat="false" ht="26.85" hidden="false" customHeight="false" outlineLevel="0" collapsed="false">
      <c r="A1" s="5" t="s">
        <v>24</v>
      </c>
      <c r="B1" s="5" t="s">
        <v>361</v>
      </c>
      <c r="C1" s="5" t="s">
        <v>362</v>
      </c>
      <c r="D1" s="5" t="s">
        <v>363</v>
      </c>
      <c r="E1" s="5" t="s">
        <v>364</v>
      </c>
      <c r="F1" s="5" t="s">
        <v>365</v>
      </c>
      <c r="G1" s="5" t="s">
        <v>366</v>
      </c>
      <c r="H1" s="5" t="s">
        <v>367</v>
      </c>
      <c r="I1" s="5" t="s">
        <v>368</v>
      </c>
      <c r="J1" s="5" t="s">
        <v>369</v>
      </c>
      <c r="K1" s="5" t="s">
        <v>370</v>
      </c>
      <c r="L1" s="5" t="s">
        <v>371</v>
      </c>
      <c r="M1" s="5" t="s">
        <v>372</v>
      </c>
      <c r="N1" s="5" t="s">
        <v>373</v>
      </c>
      <c r="O1" s="8" t="s">
        <v>374</v>
      </c>
      <c r="P1" s="5" t="s">
        <v>375</v>
      </c>
      <c r="Q1" s="5" t="s">
        <v>376</v>
      </c>
      <c r="R1" s="5" t="s">
        <v>377</v>
      </c>
    </row>
    <row r="2" customFormat="false" ht="39.55" hidden="false" customHeight="false" outlineLevel="0" collapsed="false">
      <c r="A2" s="6" t="s">
        <v>378</v>
      </c>
      <c r="B2" s="6" t="s">
        <v>379</v>
      </c>
      <c r="C2" s="7" t="s">
        <v>380</v>
      </c>
      <c r="D2" s="7" t="s">
        <v>381</v>
      </c>
      <c r="E2" s="6" t="s">
        <v>382</v>
      </c>
      <c r="F2" s="7" t="s">
        <v>383</v>
      </c>
      <c r="G2" s="6" t="s">
        <v>384</v>
      </c>
      <c r="H2" s="6" t="s">
        <v>385</v>
      </c>
      <c r="I2" s="7" t="s">
        <v>386</v>
      </c>
      <c r="J2" s="6" t="s">
        <v>88</v>
      </c>
      <c r="K2" s="9" t="s">
        <v>387</v>
      </c>
      <c r="L2" s="6" t="s">
        <v>388</v>
      </c>
      <c r="M2" s="6" t="s">
        <v>389</v>
      </c>
      <c r="N2" s="7" t="s">
        <v>390</v>
      </c>
      <c r="O2" s="7" t="s">
        <v>391</v>
      </c>
      <c r="P2" s="6" t="s">
        <v>392</v>
      </c>
      <c r="Q2" s="7" t="s">
        <v>393</v>
      </c>
      <c r="R2" s="7" t="s">
        <v>394</v>
      </c>
    </row>
    <row r="3" customFormat="false" ht="52.2" hidden="false" customHeight="false" outlineLevel="0" collapsed="false">
      <c r="A3" s="6" t="s">
        <v>395</v>
      </c>
      <c r="B3" s="6" t="s">
        <v>396</v>
      </c>
      <c r="C3" s="7" t="s">
        <v>397</v>
      </c>
      <c r="D3" s="7" t="s">
        <v>398</v>
      </c>
      <c r="E3" s="6" t="s">
        <v>399</v>
      </c>
      <c r="F3" s="7" t="s">
        <v>394</v>
      </c>
      <c r="G3" s="6" t="s">
        <v>400</v>
      </c>
      <c r="H3" s="6" t="s">
        <v>401</v>
      </c>
      <c r="I3" s="7" t="s">
        <v>386</v>
      </c>
      <c r="J3" s="6" t="s">
        <v>402</v>
      </c>
      <c r="K3" s="9" t="s">
        <v>387</v>
      </c>
      <c r="L3" s="6" t="s">
        <v>403</v>
      </c>
      <c r="M3" s="6" t="s">
        <v>404</v>
      </c>
      <c r="N3" s="7" t="s">
        <v>405</v>
      </c>
      <c r="O3" s="7" t="s">
        <v>391</v>
      </c>
      <c r="P3" s="6" t="s">
        <v>406</v>
      </c>
      <c r="Q3" s="7" t="s">
        <v>393</v>
      </c>
      <c r="R3" s="7" t="s">
        <v>394</v>
      </c>
    </row>
    <row r="4" customFormat="false" ht="76.1" hidden="false" customHeight="false" outlineLevel="0" collapsed="false">
      <c r="A4" s="6" t="s">
        <v>407</v>
      </c>
      <c r="B4" s="6" t="s">
        <v>127</v>
      </c>
      <c r="C4" s="7" t="s">
        <v>408</v>
      </c>
      <c r="D4" s="7" t="s">
        <v>409</v>
      </c>
      <c r="E4" s="7" t="s">
        <v>410</v>
      </c>
      <c r="F4" s="7" t="s">
        <v>411</v>
      </c>
      <c r="G4" s="6" t="s">
        <v>412</v>
      </c>
      <c r="H4" s="6" t="s">
        <v>413</v>
      </c>
      <c r="I4" s="7" t="s">
        <v>414</v>
      </c>
      <c r="J4" s="6" t="s">
        <v>121</v>
      </c>
      <c r="K4" s="10" t="s">
        <v>415</v>
      </c>
      <c r="L4" s="6" t="s">
        <v>416</v>
      </c>
      <c r="M4" s="7" t="s">
        <v>417</v>
      </c>
      <c r="N4" s="7" t="s">
        <v>418</v>
      </c>
      <c r="O4" s="7" t="s">
        <v>391</v>
      </c>
      <c r="P4" s="6" t="s">
        <v>419</v>
      </c>
      <c r="Q4" s="7" t="s">
        <v>393</v>
      </c>
      <c r="R4" s="7" t="s">
        <v>394</v>
      </c>
    </row>
    <row r="5" customFormat="false" ht="39.55" hidden="false" customHeight="false" outlineLevel="0" collapsed="false">
      <c r="A5" s="6" t="s">
        <v>420</v>
      </c>
      <c r="B5" s="6" t="s">
        <v>421</v>
      </c>
      <c r="C5" s="7" t="s">
        <v>380</v>
      </c>
      <c r="D5" s="7" t="s">
        <v>422</v>
      </c>
      <c r="E5" s="6" t="s">
        <v>423</v>
      </c>
      <c r="F5" s="7" t="s">
        <v>394</v>
      </c>
      <c r="G5" s="6" t="s">
        <v>424</v>
      </c>
      <c r="H5" s="6" t="s">
        <v>425</v>
      </c>
      <c r="I5" s="7" t="s">
        <v>426</v>
      </c>
      <c r="J5" s="6" t="s">
        <v>427</v>
      </c>
      <c r="K5" s="11" t="s">
        <v>428</v>
      </c>
      <c r="L5" s="6" t="s">
        <v>429</v>
      </c>
      <c r="M5" s="7" t="s">
        <v>430</v>
      </c>
      <c r="N5" s="7" t="s">
        <v>431</v>
      </c>
      <c r="O5" s="7" t="s">
        <v>432</v>
      </c>
      <c r="P5" s="6" t="s">
        <v>392</v>
      </c>
      <c r="Q5" s="7" t="s">
        <v>393</v>
      </c>
      <c r="R5" s="7" t="s">
        <v>433</v>
      </c>
    </row>
    <row r="6" customFormat="false" ht="77.6" hidden="false" customHeight="false" outlineLevel="0" collapsed="false">
      <c r="A6" s="6" t="s">
        <v>434</v>
      </c>
      <c r="B6" s="6" t="s">
        <v>148</v>
      </c>
      <c r="C6" s="7" t="s">
        <v>435</v>
      </c>
      <c r="D6" s="7" t="s">
        <v>436</v>
      </c>
      <c r="E6" s="7" t="s">
        <v>437</v>
      </c>
      <c r="F6" s="7" t="s">
        <v>438</v>
      </c>
      <c r="G6" s="6" t="s">
        <v>439</v>
      </c>
      <c r="H6" s="6" t="s">
        <v>440</v>
      </c>
      <c r="I6" s="7" t="s">
        <v>386</v>
      </c>
      <c r="J6" s="6" t="s">
        <v>441</v>
      </c>
      <c r="K6" s="9" t="s">
        <v>387</v>
      </c>
      <c r="L6" s="6" t="s">
        <v>442</v>
      </c>
      <c r="M6" s="6" t="s">
        <v>443</v>
      </c>
      <c r="N6" s="7" t="s">
        <v>444</v>
      </c>
      <c r="O6" s="7" t="s">
        <v>391</v>
      </c>
      <c r="P6" s="6" t="s">
        <v>445</v>
      </c>
      <c r="Q6" s="7" t="s">
        <v>393</v>
      </c>
      <c r="R6" s="7" t="s">
        <v>394</v>
      </c>
    </row>
    <row r="7" customFormat="false" ht="52.2" hidden="false" customHeight="false" outlineLevel="0" collapsed="false">
      <c r="A7" s="6" t="s">
        <v>446</v>
      </c>
      <c r="B7" s="6" t="s">
        <v>447</v>
      </c>
      <c r="C7" s="7" t="s">
        <v>448</v>
      </c>
      <c r="D7" s="7" t="s">
        <v>436</v>
      </c>
      <c r="E7" s="7" t="s">
        <v>449</v>
      </c>
      <c r="F7" s="7" t="s">
        <v>433</v>
      </c>
      <c r="G7" s="6" t="s">
        <v>450</v>
      </c>
      <c r="H7" s="6" t="s">
        <v>451</v>
      </c>
      <c r="I7" s="7" t="s">
        <v>452</v>
      </c>
      <c r="J7" s="6" t="s">
        <v>114</v>
      </c>
      <c r="K7" s="10" t="s">
        <v>453</v>
      </c>
      <c r="L7" s="6" t="s">
        <v>277</v>
      </c>
      <c r="M7" s="6" t="s">
        <v>454</v>
      </c>
      <c r="N7" s="7" t="s">
        <v>444</v>
      </c>
      <c r="O7" s="7" t="s">
        <v>391</v>
      </c>
      <c r="P7" s="6" t="s">
        <v>392</v>
      </c>
      <c r="Q7" s="7" t="s">
        <v>393</v>
      </c>
      <c r="R7" s="7" t="s">
        <v>394</v>
      </c>
    </row>
    <row r="8" customFormat="false" ht="26.85" hidden="false" customHeight="false" outlineLevel="0" collapsed="false">
      <c r="A8" s="6" t="s">
        <v>455</v>
      </c>
      <c r="B8" s="6" t="s">
        <v>456</v>
      </c>
      <c r="C8" s="7" t="s">
        <v>457</v>
      </c>
      <c r="D8" s="7" t="s">
        <v>458</v>
      </c>
      <c r="E8" s="7" t="s">
        <v>459</v>
      </c>
      <c r="F8" s="7" t="s">
        <v>394</v>
      </c>
      <c r="G8" s="7" t="s">
        <v>460</v>
      </c>
      <c r="H8" s="6" t="s">
        <v>461</v>
      </c>
      <c r="I8" s="7" t="s">
        <v>462</v>
      </c>
      <c r="J8" s="6" t="s">
        <v>183</v>
      </c>
      <c r="K8" s="11" t="s">
        <v>463</v>
      </c>
      <c r="L8" s="6" t="s">
        <v>53</v>
      </c>
      <c r="M8" s="7" t="s">
        <v>464</v>
      </c>
      <c r="N8" s="6" t="s">
        <v>53</v>
      </c>
      <c r="O8" s="7" t="s">
        <v>465</v>
      </c>
      <c r="P8" s="6" t="s">
        <v>392</v>
      </c>
      <c r="Q8" s="7" t="s">
        <v>393</v>
      </c>
      <c r="R8" s="7" t="s">
        <v>433</v>
      </c>
    </row>
    <row r="9" customFormat="false" ht="52.2" hidden="false" customHeight="false" outlineLevel="0" collapsed="false">
      <c r="A9" s="6" t="s">
        <v>466</v>
      </c>
      <c r="B9" s="6" t="s">
        <v>467</v>
      </c>
      <c r="C9" s="7" t="s">
        <v>457</v>
      </c>
      <c r="D9" s="7" t="s">
        <v>468</v>
      </c>
      <c r="E9" s="6" t="s">
        <v>469</v>
      </c>
      <c r="F9" s="7" t="s">
        <v>394</v>
      </c>
      <c r="G9" s="6" t="s">
        <v>470</v>
      </c>
      <c r="H9" s="6" t="s">
        <v>471</v>
      </c>
      <c r="I9" s="7" t="s">
        <v>452</v>
      </c>
      <c r="J9" s="6" t="s">
        <v>472</v>
      </c>
      <c r="K9" s="10" t="s">
        <v>453</v>
      </c>
      <c r="L9" s="6" t="s">
        <v>473</v>
      </c>
      <c r="M9" s="6" t="s">
        <v>474</v>
      </c>
      <c r="N9" s="7" t="s">
        <v>475</v>
      </c>
      <c r="O9" s="7" t="s">
        <v>391</v>
      </c>
      <c r="P9" s="6" t="s">
        <v>406</v>
      </c>
      <c r="Q9" s="7" t="s">
        <v>393</v>
      </c>
      <c r="R9" s="7" t="s">
        <v>394</v>
      </c>
    </row>
    <row r="10" customFormat="false" ht="26.85" hidden="false" customHeight="false" outlineLevel="0" collapsed="false">
      <c r="A10" s="6" t="s">
        <v>476</v>
      </c>
      <c r="B10" s="6" t="s">
        <v>477</v>
      </c>
      <c r="C10" s="7" t="s">
        <v>457</v>
      </c>
      <c r="D10" s="7" t="s">
        <v>478</v>
      </c>
      <c r="E10" s="6" t="s">
        <v>479</v>
      </c>
      <c r="F10" s="7" t="s">
        <v>394</v>
      </c>
      <c r="G10" s="6" t="s">
        <v>480</v>
      </c>
      <c r="H10" s="6" t="s">
        <v>481</v>
      </c>
      <c r="I10" s="7" t="s">
        <v>452</v>
      </c>
      <c r="J10" s="6" t="s">
        <v>482</v>
      </c>
      <c r="K10" s="10" t="s">
        <v>453</v>
      </c>
      <c r="L10" s="6" t="s">
        <v>416</v>
      </c>
      <c r="M10" s="6" t="s">
        <v>483</v>
      </c>
      <c r="N10" s="7" t="s">
        <v>484</v>
      </c>
      <c r="O10" s="7" t="s">
        <v>391</v>
      </c>
      <c r="P10" s="6" t="s">
        <v>392</v>
      </c>
      <c r="Q10" s="7" t="s">
        <v>393</v>
      </c>
      <c r="R10" s="7" t="s">
        <v>394</v>
      </c>
    </row>
    <row r="11" customFormat="false" ht="39.55" hidden="false" customHeight="false" outlineLevel="0" collapsed="false">
      <c r="A11" s="6" t="s">
        <v>485</v>
      </c>
      <c r="B11" s="6" t="s">
        <v>486</v>
      </c>
      <c r="C11" s="7" t="s">
        <v>457</v>
      </c>
      <c r="D11" s="7" t="s">
        <v>478</v>
      </c>
      <c r="E11" s="7" t="s">
        <v>487</v>
      </c>
      <c r="F11" s="7" t="s">
        <v>394</v>
      </c>
      <c r="G11" s="6" t="s">
        <v>488</v>
      </c>
      <c r="H11" s="6" t="s">
        <v>489</v>
      </c>
      <c r="I11" s="7" t="s">
        <v>452</v>
      </c>
      <c r="J11" s="6" t="s">
        <v>330</v>
      </c>
      <c r="K11" s="10" t="s">
        <v>490</v>
      </c>
      <c r="L11" s="6" t="s">
        <v>491</v>
      </c>
      <c r="M11" s="7" t="s">
        <v>492</v>
      </c>
      <c r="N11" s="7" t="s">
        <v>493</v>
      </c>
      <c r="O11" s="7" t="s">
        <v>391</v>
      </c>
      <c r="P11" s="6" t="s">
        <v>392</v>
      </c>
      <c r="Q11" s="7" t="s">
        <v>393</v>
      </c>
      <c r="R11" s="7" t="s">
        <v>394</v>
      </c>
    </row>
    <row r="12" customFormat="false" ht="76.1" hidden="false" customHeight="false" outlineLevel="0" collapsed="false">
      <c r="A12" s="6" t="s">
        <v>494</v>
      </c>
      <c r="B12" s="6" t="s">
        <v>495</v>
      </c>
      <c r="C12" s="7" t="s">
        <v>496</v>
      </c>
      <c r="D12" s="7" t="s">
        <v>497</v>
      </c>
      <c r="E12" s="6" t="s">
        <v>498</v>
      </c>
      <c r="F12" s="7" t="s">
        <v>394</v>
      </c>
      <c r="G12" s="6" t="s">
        <v>499</v>
      </c>
      <c r="H12" s="6" t="s">
        <v>500</v>
      </c>
      <c r="I12" s="7" t="s">
        <v>386</v>
      </c>
      <c r="J12" s="6" t="s">
        <v>501</v>
      </c>
      <c r="K12" s="9" t="s">
        <v>502</v>
      </c>
      <c r="L12" s="6" t="s">
        <v>503</v>
      </c>
      <c r="M12" s="6" t="s">
        <v>504</v>
      </c>
      <c r="N12" s="7" t="s">
        <v>505</v>
      </c>
      <c r="O12" s="7" t="s">
        <v>391</v>
      </c>
      <c r="P12" s="6" t="s">
        <v>506</v>
      </c>
      <c r="Q12" s="7" t="s">
        <v>507</v>
      </c>
      <c r="R12" s="7" t="s">
        <v>394</v>
      </c>
    </row>
    <row r="13" customFormat="false" ht="39.55" hidden="false" customHeight="false" outlineLevel="0" collapsed="false">
      <c r="A13" s="6" t="s">
        <v>508</v>
      </c>
      <c r="B13" s="6" t="s">
        <v>509</v>
      </c>
      <c r="C13" s="7" t="s">
        <v>510</v>
      </c>
      <c r="D13" s="7" t="s">
        <v>511</v>
      </c>
      <c r="E13" s="6" t="s">
        <v>512</v>
      </c>
      <c r="F13" s="7" t="s">
        <v>238</v>
      </c>
      <c r="G13" s="6" t="s">
        <v>513</v>
      </c>
      <c r="H13" s="6" t="s">
        <v>514</v>
      </c>
      <c r="I13" s="7" t="s">
        <v>515</v>
      </c>
      <c r="J13" s="6" t="s">
        <v>516</v>
      </c>
      <c r="K13" s="10" t="s">
        <v>453</v>
      </c>
      <c r="L13" s="6" t="s">
        <v>301</v>
      </c>
      <c r="M13" s="7" t="s">
        <v>517</v>
      </c>
      <c r="N13" s="7" t="s">
        <v>518</v>
      </c>
      <c r="O13" s="7" t="s">
        <v>391</v>
      </c>
      <c r="P13" s="6" t="s">
        <v>406</v>
      </c>
      <c r="Q13" s="7" t="s">
        <v>393</v>
      </c>
      <c r="R13" s="7" t="s">
        <v>394</v>
      </c>
    </row>
    <row r="14" customFormat="false" ht="52.2" hidden="false" customHeight="false" outlineLevel="0" collapsed="false">
      <c r="A14" s="6" t="s">
        <v>519</v>
      </c>
      <c r="B14" s="6" t="s">
        <v>520</v>
      </c>
      <c r="C14" s="7" t="s">
        <v>457</v>
      </c>
      <c r="D14" s="7" t="s">
        <v>521</v>
      </c>
      <c r="E14" s="6" t="s">
        <v>522</v>
      </c>
      <c r="F14" s="7" t="s">
        <v>394</v>
      </c>
      <c r="G14" s="6" t="s">
        <v>523</v>
      </c>
      <c r="H14" s="6" t="s">
        <v>524</v>
      </c>
      <c r="I14" s="7" t="s">
        <v>386</v>
      </c>
      <c r="J14" s="6" t="s">
        <v>525</v>
      </c>
      <c r="K14" s="9" t="s">
        <v>387</v>
      </c>
      <c r="L14" s="6" t="s">
        <v>416</v>
      </c>
      <c r="M14" s="6" t="s">
        <v>526</v>
      </c>
      <c r="N14" s="7" t="s">
        <v>527</v>
      </c>
      <c r="O14" s="7" t="s">
        <v>391</v>
      </c>
      <c r="P14" s="6" t="s">
        <v>392</v>
      </c>
      <c r="Q14" s="7" t="s">
        <v>393</v>
      </c>
      <c r="R14" s="7" t="s">
        <v>394</v>
      </c>
    </row>
    <row r="15" customFormat="false" ht="35.05" hidden="false" customHeight="false" outlineLevel="0" collapsed="false">
      <c r="A15" s="6" t="s">
        <v>528</v>
      </c>
      <c r="B15" s="6" t="s">
        <v>529</v>
      </c>
      <c r="C15" s="7" t="s">
        <v>530</v>
      </c>
      <c r="D15" s="7" t="s">
        <v>531</v>
      </c>
      <c r="E15" s="6" t="s">
        <v>53</v>
      </c>
      <c r="F15" s="6" t="s">
        <v>53</v>
      </c>
      <c r="G15" s="6" t="s">
        <v>250</v>
      </c>
      <c r="H15" s="6" t="s">
        <v>532</v>
      </c>
      <c r="I15" s="7" t="s">
        <v>533</v>
      </c>
      <c r="J15" s="6" t="s">
        <v>534</v>
      </c>
      <c r="K15" s="9" t="s">
        <v>535</v>
      </c>
      <c r="L15" s="6" t="s">
        <v>250</v>
      </c>
      <c r="M15" s="7" t="s">
        <v>536</v>
      </c>
      <c r="N15" s="6" t="s">
        <v>53</v>
      </c>
      <c r="O15" s="7" t="s">
        <v>391</v>
      </c>
      <c r="P15" s="7" t="s">
        <v>537</v>
      </c>
      <c r="Q15" s="7" t="s">
        <v>538</v>
      </c>
      <c r="R15" s="7" t="s">
        <v>394</v>
      </c>
    </row>
    <row r="16" customFormat="false" ht="63.4" hidden="false" customHeight="false" outlineLevel="0" collapsed="false">
      <c r="A16" s="6" t="s">
        <v>539</v>
      </c>
      <c r="B16" s="6" t="s">
        <v>540</v>
      </c>
      <c r="C16" s="7" t="s">
        <v>541</v>
      </c>
      <c r="D16" s="7" t="s">
        <v>542</v>
      </c>
      <c r="E16" s="6" t="s">
        <v>53</v>
      </c>
      <c r="F16" s="6" t="s">
        <v>53</v>
      </c>
      <c r="G16" s="6" t="s">
        <v>250</v>
      </c>
      <c r="H16" s="6" t="s">
        <v>543</v>
      </c>
      <c r="I16" s="7" t="s">
        <v>544</v>
      </c>
      <c r="J16" s="6" t="s">
        <v>190</v>
      </c>
      <c r="K16" s="9" t="s">
        <v>535</v>
      </c>
      <c r="L16" s="6" t="s">
        <v>250</v>
      </c>
      <c r="M16" s="7" t="s">
        <v>545</v>
      </c>
      <c r="N16" s="6" t="s">
        <v>53</v>
      </c>
      <c r="O16" s="7" t="s">
        <v>391</v>
      </c>
      <c r="P16" s="7" t="s">
        <v>546</v>
      </c>
      <c r="Q16" s="7" t="s">
        <v>538</v>
      </c>
      <c r="R16" s="7" t="s">
        <v>394</v>
      </c>
    </row>
    <row r="17" customFormat="false" ht="50.7" hidden="false" customHeight="false" outlineLevel="0" collapsed="false">
      <c r="A17" s="6" t="s">
        <v>547</v>
      </c>
      <c r="B17" s="6" t="s">
        <v>548</v>
      </c>
      <c r="C17" s="7" t="s">
        <v>549</v>
      </c>
      <c r="D17" s="7" t="s">
        <v>418</v>
      </c>
      <c r="E17" s="6" t="s">
        <v>53</v>
      </c>
      <c r="F17" s="6" t="s">
        <v>53</v>
      </c>
      <c r="G17" s="7" t="s">
        <v>460</v>
      </c>
      <c r="H17" s="7" t="s">
        <v>550</v>
      </c>
      <c r="I17" s="7" t="s">
        <v>551</v>
      </c>
      <c r="J17" s="6" t="s">
        <v>190</v>
      </c>
      <c r="K17" s="12" t="s">
        <v>552</v>
      </c>
      <c r="L17" s="6" t="s">
        <v>553</v>
      </c>
      <c r="M17" s="7" t="s">
        <v>554</v>
      </c>
      <c r="N17" s="6" t="s">
        <v>53</v>
      </c>
      <c r="O17" s="7" t="s">
        <v>555</v>
      </c>
      <c r="P17" s="7" t="s">
        <v>556</v>
      </c>
      <c r="Q17" s="7" t="s">
        <v>538</v>
      </c>
      <c r="R17" s="7" t="s">
        <v>557</v>
      </c>
    </row>
    <row r="18" customFormat="false" ht="99.95" hidden="false" customHeight="false" outlineLevel="0" collapsed="false">
      <c r="A18" s="6" t="s">
        <v>558</v>
      </c>
      <c r="B18" s="6" t="s">
        <v>46</v>
      </c>
      <c r="C18" s="7" t="s">
        <v>559</v>
      </c>
      <c r="D18" s="7" t="s">
        <v>348</v>
      </c>
      <c r="E18" s="6" t="s">
        <v>53</v>
      </c>
      <c r="F18" s="6" t="s">
        <v>53</v>
      </c>
      <c r="G18" s="6" t="s">
        <v>560</v>
      </c>
      <c r="H18" s="6" t="s">
        <v>561</v>
      </c>
      <c r="I18" s="7" t="s">
        <v>562</v>
      </c>
      <c r="J18" s="6" t="s">
        <v>563</v>
      </c>
      <c r="K18" s="9" t="s">
        <v>502</v>
      </c>
      <c r="L18" s="6" t="s">
        <v>564</v>
      </c>
      <c r="M18" s="7" t="s">
        <v>565</v>
      </c>
      <c r="N18" s="6" t="s">
        <v>53</v>
      </c>
      <c r="O18" s="7" t="s">
        <v>391</v>
      </c>
      <c r="P18" s="7" t="s">
        <v>566</v>
      </c>
      <c r="Q18" s="7" t="s">
        <v>538</v>
      </c>
      <c r="R18" s="7" t="s">
        <v>394</v>
      </c>
    </row>
    <row r="19" customFormat="false" ht="26.85" hidden="false" customHeight="false" outlineLevel="0" collapsed="false">
      <c r="A19" s="6" t="s">
        <v>567</v>
      </c>
      <c r="B19" s="6" t="s">
        <v>568</v>
      </c>
      <c r="C19" s="7" t="s">
        <v>569</v>
      </c>
      <c r="D19" s="7" t="s">
        <v>570</v>
      </c>
      <c r="E19" s="6" t="s">
        <v>571</v>
      </c>
      <c r="F19" s="7" t="s">
        <v>238</v>
      </c>
      <c r="G19" s="6" t="s">
        <v>572</v>
      </c>
      <c r="H19" s="6" t="s">
        <v>573</v>
      </c>
      <c r="I19" s="7" t="s">
        <v>574</v>
      </c>
      <c r="J19" s="6" t="s">
        <v>128</v>
      </c>
      <c r="K19" s="11" t="s">
        <v>463</v>
      </c>
      <c r="L19" s="6" t="s">
        <v>53</v>
      </c>
      <c r="M19" s="7" t="s">
        <v>575</v>
      </c>
      <c r="N19" s="6" t="s">
        <v>53</v>
      </c>
      <c r="O19" s="7" t="s">
        <v>576</v>
      </c>
      <c r="P19" s="6" t="s">
        <v>392</v>
      </c>
      <c r="Q19" s="7" t="s">
        <v>393</v>
      </c>
      <c r="R19" s="7" t="s">
        <v>433</v>
      </c>
    </row>
    <row r="20" customFormat="false" ht="60.4" hidden="false" customHeight="false" outlineLevel="0" collapsed="false">
      <c r="A20" s="6" t="s">
        <v>577</v>
      </c>
      <c r="B20" s="6" t="s">
        <v>578</v>
      </c>
      <c r="C20" s="7" t="s">
        <v>457</v>
      </c>
      <c r="D20" s="7" t="s">
        <v>579</v>
      </c>
      <c r="E20" s="6" t="s">
        <v>580</v>
      </c>
      <c r="F20" s="7" t="s">
        <v>581</v>
      </c>
      <c r="G20" s="6" t="s">
        <v>488</v>
      </c>
      <c r="H20" s="6" t="s">
        <v>582</v>
      </c>
      <c r="I20" s="7" t="s">
        <v>583</v>
      </c>
      <c r="J20" s="6" t="s">
        <v>183</v>
      </c>
      <c r="K20" s="11" t="s">
        <v>584</v>
      </c>
      <c r="L20" s="6" t="s">
        <v>585</v>
      </c>
      <c r="M20" s="7" t="s">
        <v>586</v>
      </c>
      <c r="N20" s="6" t="s">
        <v>53</v>
      </c>
      <c r="O20" s="7" t="s">
        <v>576</v>
      </c>
      <c r="P20" s="6" t="s">
        <v>392</v>
      </c>
      <c r="Q20" s="7" t="s">
        <v>393</v>
      </c>
      <c r="R20" s="7" t="s">
        <v>433</v>
      </c>
    </row>
    <row r="21" customFormat="false" ht="122.35" hidden="false" customHeight="false" outlineLevel="0" collapsed="false">
      <c r="A21" s="6" t="s">
        <v>587</v>
      </c>
      <c r="B21" s="6" t="s">
        <v>588</v>
      </c>
      <c r="C21" s="7" t="s">
        <v>457</v>
      </c>
      <c r="D21" s="7" t="s">
        <v>589</v>
      </c>
      <c r="E21" s="6" t="s">
        <v>590</v>
      </c>
      <c r="F21" s="7" t="s">
        <v>591</v>
      </c>
      <c r="G21" s="6" t="s">
        <v>592</v>
      </c>
      <c r="H21" s="7" t="s">
        <v>593</v>
      </c>
      <c r="I21" s="7" t="s">
        <v>594</v>
      </c>
      <c r="J21" s="6" t="s">
        <v>190</v>
      </c>
      <c r="K21" s="12" t="s">
        <v>595</v>
      </c>
      <c r="L21" s="6" t="s">
        <v>596</v>
      </c>
      <c r="M21" s="7" t="s">
        <v>597</v>
      </c>
      <c r="N21" s="7" t="s">
        <v>598</v>
      </c>
      <c r="O21" s="7" t="s">
        <v>576</v>
      </c>
      <c r="P21" s="7" t="s">
        <v>599</v>
      </c>
      <c r="Q21" s="7" t="s">
        <v>393</v>
      </c>
      <c r="R21" s="7" t="s">
        <v>557</v>
      </c>
    </row>
  </sheetData>
  <autoFilter ref="A1:R21"/>
  <conditionalFormatting sqref="R2:R21">
    <cfRule type="expression" priority="2" aboveAverage="0" equalAverage="0" bottom="0" percent="0" rank="0" text="" dxfId="5">
      <formula>$R2="否"</formula>
    </cfRule>
    <cfRule type="expression" priority="3" aboveAverage="0" equalAverage="0" bottom="0" percent="0" rank="0" text="" dxfId="9">
      <formula>$R2="待定"</formula>
    </cfRule>
    <cfRule type="expression" priority="4" aboveAverage="0" equalAverage="0" bottom="0" percent="0" rank="0" text="" dxfId="10">
      <formula>$R2="是"</formula>
    </cfRule>
  </conditionalFormatting>
  <dataValidations count="1">
    <dataValidation allowBlank="false" errorStyle="stop" operator="between" showDropDown="false" showErrorMessage="false" showInputMessage="false" sqref="R2:R21" type="list">
      <formula1>"是,否,待定"</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28"/>
    <col collapsed="false" customWidth="true" hidden="false" outlineLevel="0" max="4" min="4" style="0" width="60"/>
    <col collapsed="false" customWidth="true" hidden="false" outlineLevel="0" max="5" min="5" style="0" width="40"/>
    <col collapsed="false" customWidth="true" hidden="false" outlineLevel="0" max="6" min="6" style="0" width="14"/>
  </cols>
  <sheetData>
    <row r="1" customFormat="false" ht="15" hidden="false" customHeight="false" outlineLevel="0" collapsed="false">
      <c r="A1" s="5" t="s">
        <v>24</v>
      </c>
      <c r="B1" s="5" t="s">
        <v>600</v>
      </c>
      <c r="C1" s="5" t="s">
        <v>601</v>
      </c>
      <c r="D1" s="5" t="s">
        <v>602</v>
      </c>
      <c r="E1" s="5" t="s">
        <v>603</v>
      </c>
      <c r="F1" s="5" t="s">
        <v>604</v>
      </c>
    </row>
    <row r="2" customFormat="false" ht="39.55" hidden="false" customHeight="false" outlineLevel="0" collapsed="false">
      <c r="A2" s="6" t="s">
        <v>605</v>
      </c>
      <c r="B2" s="7" t="s">
        <v>606</v>
      </c>
      <c r="C2" s="6" t="s">
        <v>456</v>
      </c>
      <c r="D2" s="7" t="s">
        <v>607</v>
      </c>
      <c r="E2" s="7" t="s">
        <v>608</v>
      </c>
      <c r="F2" s="6" t="s">
        <v>609</v>
      </c>
    </row>
    <row r="3" customFormat="false" ht="25.35" hidden="false" customHeight="false" outlineLevel="0" collapsed="false">
      <c r="A3" s="6" t="s">
        <v>610</v>
      </c>
      <c r="B3" s="7" t="s">
        <v>606</v>
      </c>
      <c r="C3" s="6" t="s">
        <v>568</v>
      </c>
      <c r="D3" s="6" t="s">
        <v>611</v>
      </c>
      <c r="E3" s="7" t="s">
        <v>612</v>
      </c>
      <c r="F3" s="6" t="s">
        <v>128</v>
      </c>
    </row>
    <row r="4" customFormat="false" ht="26.85" hidden="false" customHeight="false" outlineLevel="0" collapsed="false">
      <c r="A4" s="6" t="s">
        <v>613</v>
      </c>
      <c r="B4" s="7" t="s">
        <v>614</v>
      </c>
      <c r="C4" s="6" t="s">
        <v>578</v>
      </c>
      <c r="D4" s="6" t="s">
        <v>615</v>
      </c>
      <c r="E4" s="7" t="s">
        <v>616</v>
      </c>
      <c r="F4" s="6" t="s">
        <v>183</v>
      </c>
    </row>
    <row r="5" customFormat="false" ht="39.55" hidden="false" customHeight="false" outlineLevel="0" collapsed="false">
      <c r="A5" s="6" t="s">
        <v>617</v>
      </c>
      <c r="B5" s="7" t="s">
        <v>614</v>
      </c>
      <c r="C5" s="6" t="s">
        <v>421</v>
      </c>
      <c r="D5" s="6" t="s">
        <v>618</v>
      </c>
      <c r="E5" s="7" t="s">
        <v>619</v>
      </c>
      <c r="F5" s="6" t="s">
        <v>427</v>
      </c>
    </row>
    <row r="6" customFormat="false" ht="26.85" hidden="false" customHeight="false" outlineLevel="0" collapsed="false">
      <c r="A6" s="6" t="s">
        <v>620</v>
      </c>
      <c r="B6" s="7" t="s">
        <v>621</v>
      </c>
      <c r="C6" s="6" t="s">
        <v>486</v>
      </c>
      <c r="D6" s="6" t="s">
        <v>622</v>
      </c>
      <c r="E6" s="7" t="s">
        <v>623</v>
      </c>
      <c r="F6" s="6" t="s">
        <v>624</v>
      </c>
    </row>
    <row r="7" customFormat="false" ht="23.85" hidden="false" customHeight="false" outlineLevel="0" collapsed="false">
      <c r="A7" s="6" t="s">
        <v>625</v>
      </c>
      <c r="B7" s="7" t="s">
        <v>626</v>
      </c>
      <c r="C7" s="6" t="s">
        <v>250</v>
      </c>
      <c r="D7" s="6" t="s">
        <v>627</v>
      </c>
      <c r="E7" s="7" t="s">
        <v>628</v>
      </c>
      <c r="F7" s="6" t="s">
        <v>629</v>
      </c>
    </row>
    <row r="8" customFormat="false" ht="23.85" hidden="false" customHeight="false" outlineLevel="0" collapsed="false">
      <c r="A8" s="6" t="s">
        <v>630</v>
      </c>
      <c r="B8" s="7" t="s">
        <v>626</v>
      </c>
      <c r="C8" s="6" t="s">
        <v>250</v>
      </c>
      <c r="D8" s="6" t="s">
        <v>631</v>
      </c>
      <c r="E8" s="7" t="s">
        <v>632</v>
      </c>
      <c r="F8" s="6" t="s">
        <v>633</v>
      </c>
    </row>
    <row r="9" customFormat="false" ht="26.85" hidden="false" customHeight="false" outlineLevel="0" collapsed="false">
      <c r="A9" s="6" t="s">
        <v>634</v>
      </c>
      <c r="B9" s="7" t="s">
        <v>626</v>
      </c>
      <c r="C9" s="6" t="s">
        <v>277</v>
      </c>
      <c r="D9" s="6" t="s">
        <v>635</v>
      </c>
      <c r="E9" s="7" t="s">
        <v>636</v>
      </c>
      <c r="F9" s="6" t="s">
        <v>637</v>
      </c>
    </row>
    <row r="10" customFormat="false" ht="52.2" hidden="false" customHeight="false" outlineLevel="0" collapsed="false">
      <c r="A10" s="6" t="s">
        <v>638</v>
      </c>
      <c r="B10" s="7" t="s">
        <v>626</v>
      </c>
      <c r="C10" s="6" t="s">
        <v>277</v>
      </c>
      <c r="D10" s="6" t="s">
        <v>639</v>
      </c>
      <c r="E10" s="7" t="s">
        <v>640</v>
      </c>
      <c r="F10" s="6" t="s">
        <v>641</v>
      </c>
    </row>
    <row r="11" customFormat="false" ht="23.85" hidden="false" customHeight="false" outlineLevel="0" collapsed="false">
      <c r="A11" s="6" t="s">
        <v>642</v>
      </c>
      <c r="B11" s="7" t="s">
        <v>626</v>
      </c>
      <c r="C11" s="6" t="s">
        <v>277</v>
      </c>
      <c r="D11" s="6" t="s">
        <v>643</v>
      </c>
      <c r="E11" s="7" t="s">
        <v>644</v>
      </c>
      <c r="F11" s="6" t="s">
        <v>95</v>
      </c>
    </row>
    <row r="12" customFormat="false" ht="46.25" hidden="false" customHeight="false" outlineLevel="0" collapsed="false">
      <c r="A12" s="6" t="s">
        <v>645</v>
      </c>
      <c r="B12" s="7" t="s">
        <v>646</v>
      </c>
      <c r="C12" s="6" t="s">
        <v>277</v>
      </c>
      <c r="D12" s="6" t="s">
        <v>647</v>
      </c>
      <c r="E12" s="7" t="s">
        <v>648</v>
      </c>
      <c r="F12" s="6" t="s">
        <v>121</v>
      </c>
    </row>
    <row r="13" customFormat="false" ht="46.25" hidden="false" customHeight="false" outlineLevel="0" collapsed="false">
      <c r="A13" s="6" t="s">
        <v>649</v>
      </c>
      <c r="B13" s="7" t="s">
        <v>646</v>
      </c>
      <c r="C13" s="6" t="s">
        <v>277</v>
      </c>
      <c r="D13" s="6" t="s">
        <v>650</v>
      </c>
      <c r="E13" s="7" t="s">
        <v>651</v>
      </c>
      <c r="F13" s="6" t="s">
        <v>128</v>
      </c>
    </row>
    <row r="14" customFormat="false" ht="36.55" hidden="false" customHeight="false" outlineLevel="0" collapsed="false">
      <c r="A14" s="6" t="s">
        <v>652</v>
      </c>
      <c r="B14" s="7" t="s">
        <v>626</v>
      </c>
      <c r="C14" s="6" t="s">
        <v>653</v>
      </c>
      <c r="D14" s="6" t="s">
        <v>654</v>
      </c>
      <c r="E14" s="7" t="s">
        <v>655</v>
      </c>
      <c r="F14" s="6" t="s">
        <v>128</v>
      </c>
    </row>
    <row r="15" customFormat="false" ht="36.55" hidden="false" customHeight="false" outlineLevel="0" collapsed="false">
      <c r="A15" s="6" t="s">
        <v>656</v>
      </c>
      <c r="B15" s="7" t="s">
        <v>626</v>
      </c>
      <c r="C15" s="6" t="s">
        <v>301</v>
      </c>
      <c r="D15" s="6" t="s">
        <v>657</v>
      </c>
      <c r="E15" s="7" t="s">
        <v>658</v>
      </c>
      <c r="F15" s="6" t="s">
        <v>659</v>
      </c>
    </row>
    <row r="16" customFormat="false" ht="36.55" hidden="false" customHeight="false" outlineLevel="0" collapsed="false">
      <c r="A16" s="6" t="s">
        <v>660</v>
      </c>
      <c r="B16" s="7" t="s">
        <v>661</v>
      </c>
      <c r="C16" s="7" t="s">
        <v>662</v>
      </c>
      <c r="D16" s="6" t="s">
        <v>663</v>
      </c>
      <c r="E16" s="6" t="s">
        <v>664</v>
      </c>
      <c r="F16" s="6" t="s">
        <v>161</v>
      </c>
    </row>
    <row r="17" customFormat="false" ht="39.55" hidden="false" customHeight="false" outlineLevel="0" collapsed="false">
      <c r="A17" s="6" t="s">
        <v>665</v>
      </c>
      <c r="B17" s="7" t="s">
        <v>666</v>
      </c>
      <c r="C17" s="7" t="s">
        <v>667</v>
      </c>
      <c r="D17" s="6" t="s">
        <v>668</v>
      </c>
      <c r="E17" s="7" t="s">
        <v>669</v>
      </c>
      <c r="F17" s="6" t="s">
        <v>670</v>
      </c>
    </row>
    <row r="18" customFormat="false" ht="39.55" hidden="false" customHeight="false" outlineLevel="0" collapsed="false">
      <c r="A18" s="6" t="s">
        <v>671</v>
      </c>
      <c r="B18" s="7" t="s">
        <v>672</v>
      </c>
      <c r="C18" s="7" t="s">
        <v>673</v>
      </c>
      <c r="D18" s="6" t="s">
        <v>674</v>
      </c>
      <c r="E18" s="7" t="s">
        <v>675</v>
      </c>
      <c r="F18" s="6" t="s">
        <v>676</v>
      </c>
    </row>
    <row r="19" customFormat="false" ht="50.7" hidden="false" customHeight="false" outlineLevel="0" collapsed="false">
      <c r="A19" s="6" t="s">
        <v>677</v>
      </c>
      <c r="B19" s="7" t="s">
        <v>661</v>
      </c>
      <c r="C19" s="7" t="s">
        <v>171</v>
      </c>
      <c r="D19" s="6" t="s">
        <v>678</v>
      </c>
      <c r="E19" s="7" t="s">
        <v>679</v>
      </c>
      <c r="F19" s="6" t="s">
        <v>321</v>
      </c>
    </row>
    <row r="20" customFormat="false" ht="26.85" hidden="false" customHeight="false" outlineLevel="0" collapsed="false">
      <c r="A20" s="6" t="s">
        <v>680</v>
      </c>
      <c r="B20" s="7" t="s">
        <v>646</v>
      </c>
      <c r="C20" s="6" t="s">
        <v>334</v>
      </c>
      <c r="D20" s="6" t="s">
        <v>681</v>
      </c>
      <c r="E20" s="7" t="s">
        <v>682</v>
      </c>
      <c r="F20" s="6" t="s">
        <v>197</v>
      </c>
    </row>
    <row r="21" customFormat="false" ht="26.85" hidden="false" customHeight="false" outlineLevel="0" collapsed="false">
      <c r="A21" s="6" t="s">
        <v>683</v>
      </c>
      <c r="B21" s="7" t="s">
        <v>684</v>
      </c>
      <c r="C21" s="6" t="s">
        <v>685</v>
      </c>
      <c r="D21" s="6" t="s">
        <v>686</v>
      </c>
      <c r="E21" s="7" t="s">
        <v>687</v>
      </c>
      <c r="F21" s="6" t="s">
        <v>228</v>
      </c>
    </row>
    <row r="22" customFormat="false" ht="26.85" hidden="false" customHeight="false" outlineLevel="0" collapsed="false">
      <c r="A22" s="6" t="s">
        <v>688</v>
      </c>
      <c r="B22" s="7" t="s">
        <v>689</v>
      </c>
      <c r="C22" s="7" t="s">
        <v>690</v>
      </c>
      <c r="D22" s="6" t="s">
        <v>691</v>
      </c>
      <c r="E22" s="7" t="s">
        <v>692</v>
      </c>
      <c r="F22" s="6" t="s">
        <v>228</v>
      </c>
    </row>
    <row r="23" customFormat="false" ht="26.85" hidden="false" customHeight="false" outlineLevel="0" collapsed="false">
      <c r="A23" s="6" t="s">
        <v>693</v>
      </c>
      <c r="B23" s="7" t="s">
        <v>694</v>
      </c>
      <c r="C23" s="7" t="s">
        <v>695</v>
      </c>
      <c r="D23" s="6" t="s">
        <v>696</v>
      </c>
      <c r="E23" s="7" t="s">
        <v>697</v>
      </c>
      <c r="F23" s="6" t="s">
        <v>698</v>
      </c>
    </row>
  </sheetData>
  <autoFilter ref="A1:F2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0"/>
    <col collapsed="false" customWidth="true" hidden="false" outlineLevel="0" max="3" min="3" style="0" width="12"/>
    <col collapsed="false" customWidth="true" hidden="false" outlineLevel="0" max="4" min="4" style="0" width="60"/>
    <col collapsed="false" customWidth="true" hidden="false" outlineLevel="0" max="5" min="5" style="0" width="18"/>
    <col collapsed="false" customWidth="true" hidden="false" outlineLevel="0" max="6" min="6" style="0" width="24"/>
    <col collapsed="false" customWidth="true" hidden="false" outlineLevel="0" max="7" min="7" style="0" width="56"/>
    <col collapsed="false" customWidth="true" hidden="false" outlineLevel="0" max="8" min="8" style="0" width="16"/>
    <col collapsed="false" customWidth="true" hidden="false" outlineLevel="0" max="9" min="9" style="0" width="40"/>
    <col collapsed="false" customWidth="true" hidden="false" outlineLevel="0" max="10" min="10" style="0" width="18"/>
    <col collapsed="false" customWidth="true" hidden="false" outlineLevel="0" max="11" min="11" style="0" width="12"/>
    <col collapsed="false" customWidth="true" hidden="false" outlineLevel="0" max="12" min="12" style="0" width="10"/>
  </cols>
  <sheetData>
    <row r="1" customFormat="false" ht="52.2" hidden="false" customHeight="false" outlineLevel="0" collapsed="false">
      <c r="A1" s="5" t="s">
        <v>24</v>
      </c>
      <c r="B1" s="5" t="s">
        <v>30</v>
      </c>
      <c r="C1" s="5" t="s">
        <v>376</v>
      </c>
      <c r="D1" s="8" t="s">
        <v>699</v>
      </c>
      <c r="E1" s="5" t="s">
        <v>700</v>
      </c>
      <c r="F1" s="5" t="s">
        <v>701</v>
      </c>
      <c r="G1" s="5" t="s">
        <v>702</v>
      </c>
      <c r="H1" s="5" t="s">
        <v>703</v>
      </c>
      <c r="I1" s="5" t="s">
        <v>704</v>
      </c>
      <c r="J1" s="5" t="s">
        <v>705</v>
      </c>
      <c r="K1" s="5" t="s">
        <v>706</v>
      </c>
      <c r="L1" s="5" t="s">
        <v>707</v>
      </c>
    </row>
    <row r="2" customFormat="false" ht="77.6" hidden="false" customHeight="false" outlineLevel="0" collapsed="false">
      <c r="A2" s="6" t="s">
        <v>708</v>
      </c>
      <c r="B2" s="6" t="s">
        <v>709</v>
      </c>
      <c r="C2" s="7" t="s">
        <v>507</v>
      </c>
      <c r="D2" s="6" t="s">
        <v>710</v>
      </c>
      <c r="E2" s="7" t="s">
        <v>711</v>
      </c>
      <c r="F2" s="6" t="s">
        <v>712</v>
      </c>
      <c r="G2" s="7" t="s">
        <v>713</v>
      </c>
      <c r="H2" s="7" t="s">
        <v>714</v>
      </c>
      <c r="I2" s="7" t="s">
        <v>715</v>
      </c>
      <c r="J2" s="6" t="s">
        <v>716</v>
      </c>
      <c r="K2" s="7" t="s">
        <v>717</v>
      </c>
      <c r="L2" s="7" t="s">
        <v>394</v>
      </c>
    </row>
    <row r="3" customFormat="false" ht="63.4" hidden="false" customHeight="false" outlineLevel="0" collapsed="false">
      <c r="A3" s="6" t="s">
        <v>718</v>
      </c>
      <c r="B3" s="6" t="s">
        <v>709</v>
      </c>
      <c r="C3" s="7" t="s">
        <v>538</v>
      </c>
      <c r="D3" s="6" t="s">
        <v>719</v>
      </c>
      <c r="E3" s="7" t="s">
        <v>542</v>
      </c>
      <c r="F3" s="6" t="s">
        <v>720</v>
      </c>
      <c r="G3" s="7" t="s">
        <v>721</v>
      </c>
      <c r="H3" s="7" t="s">
        <v>722</v>
      </c>
      <c r="I3" s="7" t="s">
        <v>723</v>
      </c>
      <c r="J3" s="7" t="s">
        <v>724</v>
      </c>
      <c r="K3" s="7" t="s">
        <v>725</v>
      </c>
      <c r="L3" s="7" t="s">
        <v>394</v>
      </c>
    </row>
    <row r="4" customFormat="false" ht="64.9" hidden="false" customHeight="false" outlineLevel="0" collapsed="false">
      <c r="A4" s="6" t="s">
        <v>726</v>
      </c>
      <c r="B4" s="6" t="s">
        <v>709</v>
      </c>
      <c r="C4" s="7" t="s">
        <v>538</v>
      </c>
      <c r="D4" s="6" t="s">
        <v>727</v>
      </c>
      <c r="E4" s="7" t="s">
        <v>348</v>
      </c>
      <c r="F4" s="6" t="s">
        <v>442</v>
      </c>
      <c r="G4" s="6" t="s">
        <v>728</v>
      </c>
      <c r="H4" s="7" t="s">
        <v>729</v>
      </c>
      <c r="I4" s="7" t="s">
        <v>730</v>
      </c>
      <c r="J4" s="7" t="s">
        <v>724</v>
      </c>
      <c r="K4" s="7" t="s">
        <v>731</v>
      </c>
      <c r="L4" s="7" t="s">
        <v>557</v>
      </c>
    </row>
    <row r="5" customFormat="false" ht="77.6" hidden="false" customHeight="false" outlineLevel="0" collapsed="false">
      <c r="A5" s="6" t="s">
        <v>732</v>
      </c>
      <c r="B5" s="6" t="s">
        <v>733</v>
      </c>
      <c r="C5" s="7" t="s">
        <v>393</v>
      </c>
      <c r="D5" s="6" t="s">
        <v>734</v>
      </c>
      <c r="E5" s="7" t="s">
        <v>735</v>
      </c>
      <c r="F5" s="6" t="s">
        <v>736</v>
      </c>
      <c r="G5" s="7" t="s">
        <v>737</v>
      </c>
      <c r="H5" s="7" t="s">
        <v>729</v>
      </c>
      <c r="I5" s="7" t="s">
        <v>738</v>
      </c>
      <c r="J5" s="6" t="s">
        <v>53</v>
      </c>
      <c r="K5" s="7" t="s">
        <v>739</v>
      </c>
      <c r="L5" s="7" t="s">
        <v>557</v>
      </c>
    </row>
    <row r="6" customFormat="false" ht="126.85" hidden="false" customHeight="false" outlineLevel="0" collapsed="false">
      <c r="A6" s="6" t="s">
        <v>740</v>
      </c>
      <c r="B6" s="6" t="s">
        <v>733</v>
      </c>
      <c r="C6" s="7" t="s">
        <v>393</v>
      </c>
      <c r="D6" s="6" t="s">
        <v>741</v>
      </c>
      <c r="E6" s="7" t="s">
        <v>742</v>
      </c>
      <c r="F6" s="6" t="s">
        <v>301</v>
      </c>
      <c r="G6" s="7" t="s">
        <v>743</v>
      </c>
      <c r="H6" s="7" t="s">
        <v>744</v>
      </c>
      <c r="I6" s="7" t="s">
        <v>745</v>
      </c>
      <c r="J6" s="6" t="s">
        <v>746</v>
      </c>
      <c r="K6" s="7" t="s">
        <v>747</v>
      </c>
      <c r="L6" s="7" t="s">
        <v>557</v>
      </c>
    </row>
    <row r="7" customFormat="false" ht="90.25" hidden="false" customHeight="false" outlineLevel="0" collapsed="false">
      <c r="A7" s="6" t="s">
        <v>748</v>
      </c>
      <c r="B7" s="6" t="s">
        <v>733</v>
      </c>
      <c r="C7" s="7" t="s">
        <v>393</v>
      </c>
      <c r="D7" s="6" t="s">
        <v>749</v>
      </c>
      <c r="E7" s="7" t="s">
        <v>750</v>
      </c>
      <c r="F7" s="6" t="s">
        <v>416</v>
      </c>
      <c r="G7" s="7" t="s">
        <v>751</v>
      </c>
      <c r="H7" s="7" t="s">
        <v>752</v>
      </c>
      <c r="I7" s="7" t="s">
        <v>753</v>
      </c>
      <c r="J7" s="6" t="s">
        <v>754</v>
      </c>
      <c r="K7" s="7" t="s">
        <v>755</v>
      </c>
      <c r="L7" s="7" t="s">
        <v>557</v>
      </c>
    </row>
    <row r="8" customFormat="false" ht="77.6" hidden="false" customHeight="false" outlineLevel="0" collapsed="false">
      <c r="A8" s="6" t="s">
        <v>756</v>
      </c>
      <c r="B8" s="6" t="s">
        <v>733</v>
      </c>
      <c r="C8" s="7" t="s">
        <v>393</v>
      </c>
      <c r="D8" s="6" t="s">
        <v>757</v>
      </c>
      <c r="E8" s="7" t="s">
        <v>758</v>
      </c>
      <c r="F8" s="6" t="s">
        <v>759</v>
      </c>
      <c r="G8" s="7" t="s">
        <v>760</v>
      </c>
      <c r="H8" s="7" t="s">
        <v>761</v>
      </c>
      <c r="I8" s="7" t="s">
        <v>762</v>
      </c>
      <c r="J8" s="6" t="s">
        <v>763</v>
      </c>
      <c r="K8" s="6" t="s">
        <v>764</v>
      </c>
      <c r="L8" s="7" t="s">
        <v>557</v>
      </c>
    </row>
    <row r="9" customFormat="false" ht="46.25" hidden="false" customHeight="false" outlineLevel="0" collapsed="false">
      <c r="A9" s="6" t="s">
        <v>765</v>
      </c>
      <c r="B9" s="6" t="s">
        <v>733</v>
      </c>
      <c r="C9" s="7" t="s">
        <v>393</v>
      </c>
      <c r="D9" s="6" t="s">
        <v>766</v>
      </c>
      <c r="E9" s="7" t="s">
        <v>767</v>
      </c>
      <c r="F9" s="6" t="s">
        <v>250</v>
      </c>
      <c r="G9" s="7" t="s">
        <v>768</v>
      </c>
      <c r="H9" s="7" t="s">
        <v>729</v>
      </c>
      <c r="I9" s="7" t="s">
        <v>769</v>
      </c>
      <c r="J9" s="6" t="s">
        <v>770</v>
      </c>
      <c r="K9" s="7" t="s">
        <v>771</v>
      </c>
      <c r="L9" s="7" t="s">
        <v>557</v>
      </c>
    </row>
    <row r="10" customFormat="false" ht="52.2" hidden="false" customHeight="false" outlineLevel="0" collapsed="false">
      <c r="A10" s="6" t="s">
        <v>772</v>
      </c>
      <c r="B10" s="6" t="s">
        <v>773</v>
      </c>
      <c r="C10" s="7" t="s">
        <v>393</v>
      </c>
      <c r="D10" s="6" t="s">
        <v>774</v>
      </c>
      <c r="E10" s="7" t="s">
        <v>775</v>
      </c>
      <c r="F10" s="6" t="s">
        <v>776</v>
      </c>
      <c r="G10" s="6" t="s">
        <v>777</v>
      </c>
      <c r="H10" s="7" t="s">
        <v>778</v>
      </c>
      <c r="I10" s="7" t="s">
        <v>779</v>
      </c>
      <c r="J10" s="6" t="s">
        <v>53</v>
      </c>
      <c r="K10" s="6" t="s">
        <v>780</v>
      </c>
      <c r="L10" s="7" t="s">
        <v>557</v>
      </c>
    </row>
    <row r="11" customFormat="false" ht="46.25" hidden="false" customHeight="false" outlineLevel="0" collapsed="false">
      <c r="A11" s="6" t="s">
        <v>781</v>
      </c>
      <c r="B11" s="6" t="s">
        <v>773</v>
      </c>
      <c r="C11" s="7" t="s">
        <v>393</v>
      </c>
      <c r="D11" s="6" t="s">
        <v>782</v>
      </c>
      <c r="E11" s="7" t="s">
        <v>348</v>
      </c>
      <c r="F11" s="6" t="s">
        <v>783</v>
      </c>
      <c r="G11" s="6" t="s">
        <v>784</v>
      </c>
      <c r="H11" s="7" t="s">
        <v>729</v>
      </c>
      <c r="I11" s="7" t="s">
        <v>762</v>
      </c>
      <c r="J11" s="6" t="s">
        <v>785</v>
      </c>
      <c r="K11" s="7" t="s">
        <v>786</v>
      </c>
      <c r="L11" s="7" t="s">
        <v>557</v>
      </c>
    </row>
    <row r="12" customFormat="false" ht="58.95" hidden="false" customHeight="false" outlineLevel="0" collapsed="false">
      <c r="A12" s="6" t="s">
        <v>787</v>
      </c>
      <c r="B12" s="6" t="s">
        <v>773</v>
      </c>
      <c r="C12" s="7" t="s">
        <v>538</v>
      </c>
      <c r="D12" s="6" t="s">
        <v>788</v>
      </c>
      <c r="E12" s="7" t="s">
        <v>418</v>
      </c>
      <c r="F12" s="6" t="s">
        <v>789</v>
      </c>
      <c r="G12" s="6" t="s">
        <v>790</v>
      </c>
      <c r="H12" s="7" t="s">
        <v>729</v>
      </c>
      <c r="I12" s="7" t="s">
        <v>791</v>
      </c>
      <c r="J12" s="7" t="s">
        <v>724</v>
      </c>
      <c r="K12" s="7" t="s">
        <v>792</v>
      </c>
      <c r="L12" s="7" t="s">
        <v>557</v>
      </c>
    </row>
    <row r="13" customFormat="false" ht="61.9" hidden="false" customHeight="false" outlineLevel="0" collapsed="false">
      <c r="A13" s="6" t="s">
        <v>793</v>
      </c>
      <c r="B13" s="6" t="s">
        <v>773</v>
      </c>
      <c r="C13" s="7" t="s">
        <v>538</v>
      </c>
      <c r="D13" s="6" t="s">
        <v>794</v>
      </c>
      <c r="E13" s="7" t="s">
        <v>418</v>
      </c>
      <c r="F13" s="6" t="s">
        <v>795</v>
      </c>
      <c r="G13" s="7" t="s">
        <v>796</v>
      </c>
      <c r="H13" s="7" t="s">
        <v>729</v>
      </c>
      <c r="I13" s="7" t="s">
        <v>797</v>
      </c>
      <c r="J13" s="7" t="s">
        <v>724</v>
      </c>
      <c r="K13" s="7" t="s">
        <v>747</v>
      </c>
      <c r="L13" s="7" t="s">
        <v>433</v>
      </c>
    </row>
    <row r="14" customFormat="false" ht="47.75" hidden="false" customHeight="false" outlineLevel="0" collapsed="false">
      <c r="A14" s="6" t="s">
        <v>798</v>
      </c>
      <c r="B14" s="6" t="s">
        <v>773</v>
      </c>
      <c r="C14" s="7" t="s">
        <v>538</v>
      </c>
      <c r="D14" s="6" t="s">
        <v>799</v>
      </c>
      <c r="E14" s="7" t="s">
        <v>348</v>
      </c>
      <c r="F14" s="6" t="s">
        <v>795</v>
      </c>
      <c r="G14" s="7" t="s">
        <v>800</v>
      </c>
      <c r="H14" s="7" t="s">
        <v>729</v>
      </c>
      <c r="I14" s="7" t="s">
        <v>797</v>
      </c>
      <c r="J14" s="7" t="s">
        <v>724</v>
      </c>
      <c r="K14" s="7" t="s">
        <v>747</v>
      </c>
      <c r="L14" s="7" t="s">
        <v>433</v>
      </c>
    </row>
    <row r="15" customFormat="false" ht="70.1" hidden="false" customHeight="false" outlineLevel="0" collapsed="false">
      <c r="A15" s="6" t="s">
        <v>801</v>
      </c>
      <c r="B15" s="6" t="s">
        <v>773</v>
      </c>
      <c r="C15" s="7" t="s">
        <v>393</v>
      </c>
      <c r="D15" s="6" t="s">
        <v>802</v>
      </c>
      <c r="E15" s="7" t="s">
        <v>803</v>
      </c>
      <c r="F15" s="6" t="s">
        <v>804</v>
      </c>
      <c r="G15" s="7" t="s">
        <v>805</v>
      </c>
      <c r="H15" s="7" t="s">
        <v>729</v>
      </c>
      <c r="I15" s="7" t="s">
        <v>806</v>
      </c>
      <c r="J15" s="6" t="s">
        <v>53</v>
      </c>
      <c r="K15" s="7" t="s">
        <v>807</v>
      </c>
      <c r="L15" s="7" t="s">
        <v>433</v>
      </c>
    </row>
    <row r="16" customFormat="false" ht="47.75" hidden="false" customHeight="false" outlineLevel="0" collapsed="false">
      <c r="A16" s="6" t="s">
        <v>808</v>
      </c>
      <c r="B16" s="6" t="s">
        <v>773</v>
      </c>
      <c r="C16" s="7" t="s">
        <v>809</v>
      </c>
      <c r="D16" s="6" t="s">
        <v>810</v>
      </c>
      <c r="E16" s="7" t="s">
        <v>348</v>
      </c>
      <c r="F16" s="6" t="s">
        <v>811</v>
      </c>
      <c r="G16" s="7" t="s">
        <v>812</v>
      </c>
      <c r="H16" s="7" t="s">
        <v>813</v>
      </c>
      <c r="I16" s="7" t="s">
        <v>814</v>
      </c>
      <c r="J16" s="6" t="s">
        <v>815</v>
      </c>
      <c r="K16" s="7" t="s">
        <v>816</v>
      </c>
      <c r="L16" s="7" t="s">
        <v>557</v>
      </c>
    </row>
    <row r="17" customFormat="false" ht="60.4" hidden="false" customHeight="false" outlineLevel="0" collapsed="false">
      <c r="A17" s="6" t="s">
        <v>817</v>
      </c>
      <c r="B17" s="7" t="s">
        <v>818</v>
      </c>
      <c r="C17" s="7" t="s">
        <v>393</v>
      </c>
      <c r="D17" s="6" t="s">
        <v>819</v>
      </c>
      <c r="E17" s="7" t="s">
        <v>820</v>
      </c>
      <c r="F17" s="6" t="s">
        <v>53</v>
      </c>
      <c r="G17" s="7" t="s">
        <v>821</v>
      </c>
      <c r="H17" s="7" t="s">
        <v>729</v>
      </c>
      <c r="I17" s="6" t="s">
        <v>53</v>
      </c>
      <c r="J17" s="6" t="s">
        <v>822</v>
      </c>
      <c r="K17" s="7" t="s">
        <v>823</v>
      </c>
      <c r="L17" s="7" t="s">
        <v>433</v>
      </c>
    </row>
    <row r="18" customFormat="false" ht="36.55" hidden="false" customHeight="false" outlineLevel="0" collapsed="false">
      <c r="A18" s="6" t="s">
        <v>824</v>
      </c>
      <c r="B18" s="7" t="s">
        <v>818</v>
      </c>
      <c r="C18" s="7" t="s">
        <v>809</v>
      </c>
      <c r="D18" s="6" t="s">
        <v>825</v>
      </c>
      <c r="E18" s="6" t="s">
        <v>53</v>
      </c>
      <c r="F18" s="6" t="s">
        <v>53</v>
      </c>
      <c r="G18" s="7" t="s">
        <v>826</v>
      </c>
      <c r="H18" s="7" t="s">
        <v>827</v>
      </c>
      <c r="I18" s="7" t="s">
        <v>828</v>
      </c>
      <c r="J18" s="6" t="s">
        <v>53</v>
      </c>
      <c r="K18" s="7" t="s">
        <v>823</v>
      </c>
      <c r="L18" s="7" t="s">
        <v>433</v>
      </c>
    </row>
    <row r="19" customFormat="false" ht="47.75" hidden="false" customHeight="false" outlineLevel="0" collapsed="false">
      <c r="A19" s="6" t="s">
        <v>829</v>
      </c>
      <c r="B19" s="7" t="s">
        <v>818</v>
      </c>
      <c r="C19" s="7" t="s">
        <v>809</v>
      </c>
      <c r="D19" s="6" t="s">
        <v>830</v>
      </c>
      <c r="E19" s="7" t="s">
        <v>831</v>
      </c>
      <c r="F19" s="6" t="s">
        <v>53</v>
      </c>
      <c r="G19" s="6" t="s">
        <v>832</v>
      </c>
      <c r="H19" s="7" t="s">
        <v>729</v>
      </c>
      <c r="I19" s="6" t="s">
        <v>53</v>
      </c>
      <c r="J19" s="6" t="s">
        <v>53</v>
      </c>
      <c r="K19" s="7" t="s">
        <v>816</v>
      </c>
      <c r="L19" s="7" t="s">
        <v>433</v>
      </c>
    </row>
    <row r="20" customFormat="false" ht="63.4" hidden="false" customHeight="false" outlineLevel="0" collapsed="false">
      <c r="A20" s="6" t="s">
        <v>833</v>
      </c>
      <c r="B20" s="7" t="s">
        <v>834</v>
      </c>
      <c r="C20" s="7" t="s">
        <v>809</v>
      </c>
      <c r="D20" s="6" t="s">
        <v>835</v>
      </c>
      <c r="E20" s="7" t="s">
        <v>542</v>
      </c>
      <c r="F20" s="6" t="s">
        <v>836</v>
      </c>
      <c r="G20" s="7" t="s">
        <v>837</v>
      </c>
      <c r="H20" s="7" t="s">
        <v>838</v>
      </c>
      <c r="I20" s="7" t="s">
        <v>839</v>
      </c>
      <c r="J20" s="6" t="s">
        <v>840</v>
      </c>
      <c r="K20" s="7" t="s">
        <v>725</v>
      </c>
      <c r="L20" s="7" t="s">
        <v>433</v>
      </c>
    </row>
  </sheetData>
  <autoFilter ref="A1:L20"/>
  <conditionalFormatting sqref="B2:B20">
    <cfRule type="expression" priority="2" aboveAverage="0" equalAverage="0" bottom="0" percent="0" rank="0" text="" dxfId="10">
      <formula>$B2="A 强烈建议"</formula>
    </cfRule>
    <cfRule type="expression" priority="3" aboveAverage="0" equalAverage="0" bottom="0" percent="0" rank="0" text="" dxfId="6">
      <formula>$B2="B 建议"</formula>
    </cfRule>
    <cfRule type="expression" priority="4" aboveAverage="0" equalAverage="0" bottom="0" percent="0" rank="0" text="" dxfId="9">
      <formula>$B2="C 可选"</formula>
    </cfRule>
  </conditionalFormatting>
  <dataValidations count="1">
    <dataValidation allowBlank="false" errorStyle="stop" operator="between" showDropDown="false" showErrorMessage="false" showInputMessage="false" sqref="L2:L20" type="list">
      <formula1>"是,否,待定"</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0"/>
    <col collapsed="false" customWidth="true" hidden="false" outlineLevel="0" max="4" min="3" style="0" width="44"/>
    <col collapsed="false" customWidth="true" hidden="false" outlineLevel="0" max="5" min="5" style="0" width="50"/>
    <col collapsed="false" customWidth="true" hidden="false" outlineLevel="0" max="6" min="6" style="0" width="8"/>
  </cols>
  <sheetData>
    <row r="1" customFormat="false" ht="15" hidden="false" customHeight="false" outlineLevel="0" collapsed="false">
      <c r="A1" s="5" t="s">
        <v>841</v>
      </c>
      <c r="B1" s="5" t="s">
        <v>842</v>
      </c>
      <c r="C1" s="5" t="s">
        <v>843</v>
      </c>
      <c r="D1" s="5" t="s">
        <v>844</v>
      </c>
      <c r="E1" s="5" t="s">
        <v>845</v>
      </c>
      <c r="F1" s="5" t="s">
        <v>846</v>
      </c>
    </row>
    <row r="2" customFormat="false" ht="26.85" hidden="false" customHeight="false" outlineLevel="0" collapsed="false">
      <c r="A2" s="6" t="s">
        <v>847</v>
      </c>
      <c r="B2" s="6" t="s">
        <v>848</v>
      </c>
      <c r="C2" s="6" t="s">
        <v>849</v>
      </c>
      <c r="D2" s="6" t="s">
        <v>850</v>
      </c>
      <c r="E2" s="7" t="s">
        <v>851</v>
      </c>
      <c r="F2" s="7" t="s">
        <v>238</v>
      </c>
    </row>
    <row r="3" customFormat="false" ht="26.85" hidden="false" customHeight="false" outlineLevel="0" collapsed="false">
      <c r="A3" s="6" t="s">
        <v>847</v>
      </c>
      <c r="B3" s="6" t="s">
        <v>852</v>
      </c>
      <c r="C3" s="6" t="s">
        <v>853</v>
      </c>
      <c r="D3" s="7" t="s">
        <v>854</v>
      </c>
      <c r="E3" s="7" t="s">
        <v>855</v>
      </c>
      <c r="F3" s="7" t="s">
        <v>856</v>
      </c>
    </row>
    <row r="4" customFormat="false" ht="23.85" hidden="false" customHeight="false" outlineLevel="0" collapsed="false">
      <c r="A4" s="6" t="s">
        <v>847</v>
      </c>
      <c r="B4" s="6" t="s">
        <v>857</v>
      </c>
      <c r="C4" s="6" t="s">
        <v>858</v>
      </c>
      <c r="D4" s="7" t="s">
        <v>859</v>
      </c>
      <c r="E4" s="7" t="s">
        <v>860</v>
      </c>
      <c r="F4" s="7" t="s">
        <v>238</v>
      </c>
    </row>
    <row r="5" customFormat="false" ht="15" hidden="false" customHeight="false" outlineLevel="0" collapsed="false">
      <c r="A5" s="6" t="s">
        <v>847</v>
      </c>
      <c r="B5" s="6" t="s">
        <v>861</v>
      </c>
      <c r="C5" s="6" t="s">
        <v>862</v>
      </c>
      <c r="D5" s="7" t="s">
        <v>863</v>
      </c>
      <c r="E5" s="7" t="s">
        <v>864</v>
      </c>
      <c r="F5" s="7" t="s">
        <v>856</v>
      </c>
    </row>
    <row r="6" customFormat="false" ht="26.85" hidden="false" customHeight="false" outlineLevel="0" collapsed="false">
      <c r="A6" s="6" t="s">
        <v>847</v>
      </c>
      <c r="B6" s="6" t="s">
        <v>865</v>
      </c>
      <c r="C6" s="6" t="s">
        <v>866</v>
      </c>
      <c r="D6" s="7" t="s">
        <v>867</v>
      </c>
      <c r="E6" s="7" t="s">
        <v>868</v>
      </c>
      <c r="F6" s="7" t="s">
        <v>238</v>
      </c>
    </row>
    <row r="7" customFormat="false" ht="23.85" hidden="false" customHeight="false" outlineLevel="0" collapsed="false">
      <c r="A7" s="6" t="s">
        <v>847</v>
      </c>
      <c r="B7" s="6" t="s">
        <v>869</v>
      </c>
      <c r="C7" s="6" t="s">
        <v>870</v>
      </c>
      <c r="D7" s="7" t="s">
        <v>871</v>
      </c>
      <c r="E7" s="7" t="s">
        <v>872</v>
      </c>
      <c r="F7" s="7" t="s">
        <v>856</v>
      </c>
    </row>
    <row r="8" customFormat="false" ht="26.85" hidden="false" customHeight="false" outlineLevel="0" collapsed="false">
      <c r="A8" s="6" t="s">
        <v>873</v>
      </c>
      <c r="B8" s="6" t="s">
        <v>874</v>
      </c>
      <c r="C8" s="6" t="s">
        <v>875</v>
      </c>
      <c r="D8" s="7" t="s">
        <v>876</v>
      </c>
      <c r="E8" s="7" t="s">
        <v>877</v>
      </c>
      <c r="F8" s="7" t="s">
        <v>856</v>
      </c>
    </row>
    <row r="9" customFormat="false" ht="26.85" hidden="false" customHeight="false" outlineLevel="0" collapsed="false">
      <c r="A9" s="6" t="s">
        <v>873</v>
      </c>
      <c r="B9" s="6" t="s">
        <v>878</v>
      </c>
      <c r="C9" s="6" t="s">
        <v>879</v>
      </c>
      <c r="D9" s="7" t="s">
        <v>880</v>
      </c>
      <c r="E9" s="7" t="s">
        <v>881</v>
      </c>
      <c r="F9" s="7" t="s">
        <v>856</v>
      </c>
    </row>
    <row r="10" customFormat="false" ht="26.85" hidden="false" customHeight="false" outlineLevel="0" collapsed="false">
      <c r="A10" s="6" t="s">
        <v>873</v>
      </c>
      <c r="B10" s="6" t="s">
        <v>882</v>
      </c>
      <c r="C10" s="6" t="s">
        <v>883</v>
      </c>
      <c r="D10" s="7" t="s">
        <v>884</v>
      </c>
      <c r="E10" s="7" t="s">
        <v>885</v>
      </c>
      <c r="F10" s="7" t="s">
        <v>856</v>
      </c>
    </row>
    <row r="11" customFormat="false" ht="23.85" hidden="false" customHeight="false" outlineLevel="0" collapsed="false">
      <c r="A11" s="6" t="s">
        <v>873</v>
      </c>
      <c r="B11" s="6" t="s">
        <v>886</v>
      </c>
      <c r="C11" s="6" t="s">
        <v>887</v>
      </c>
      <c r="D11" s="7" t="s">
        <v>888</v>
      </c>
      <c r="E11" s="7" t="s">
        <v>889</v>
      </c>
      <c r="F11" s="7" t="s">
        <v>238</v>
      </c>
    </row>
    <row r="12" customFormat="false" ht="15" hidden="false" customHeight="false" outlineLevel="0" collapsed="false">
      <c r="A12" s="6" t="s">
        <v>873</v>
      </c>
      <c r="B12" s="6" t="s">
        <v>890</v>
      </c>
      <c r="C12" s="6" t="s">
        <v>891</v>
      </c>
      <c r="D12" s="7" t="s">
        <v>892</v>
      </c>
      <c r="E12" s="7" t="s">
        <v>893</v>
      </c>
      <c r="F12" s="7" t="s">
        <v>856</v>
      </c>
    </row>
    <row r="13" customFormat="false" ht="26.85" hidden="false" customHeight="false" outlineLevel="0" collapsed="false">
      <c r="A13" s="6" t="s">
        <v>873</v>
      </c>
      <c r="B13" s="6" t="s">
        <v>894</v>
      </c>
      <c r="C13" s="6" t="s">
        <v>895</v>
      </c>
      <c r="D13" s="6" t="s">
        <v>896</v>
      </c>
      <c r="E13" s="7" t="s">
        <v>897</v>
      </c>
      <c r="F13" s="7" t="s">
        <v>856</v>
      </c>
    </row>
    <row r="14" customFormat="false" ht="23.85" hidden="false" customHeight="false" outlineLevel="0" collapsed="false">
      <c r="A14" s="6" t="s">
        <v>334</v>
      </c>
      <c r="B14" s="6" t="s">
        <v>898</v>
      </c>
      <c r="C14" s="6" t="s">
        <v>899</v>
      </c>
      <c r="D14" s="7" t="s">
        <v>900</v>
      </c>
      <c r="E14" s="7" t="s">
        <v>901</v>
      </c>
      <c r="F14" s="7" t="s">
        <v>856</v>
      </c>
    </row>
    <row r="15" customFormat="false" ht="23.85" hidden="false" customHeight="false" outlineLevel="0" collapsed="false">
      <c r="A15" s="6" t="s">
        <v>334</v>
      </c>
      <c r="B15" s="6" t="s">
        <v>902</v>
      </c>
      <c r="C15" s="6" t="s">
        <v>903</v>
      </c>
      <c r="D15" s="7" t="s">
        <v>904</v>
      </c>
      <c r="E15" s="7" t="s">
        <v>905</v>
      </c>
      <c r="F15" s="7" t="s">
        <v>856</v>
      </c>
    </row>
    <row r="16" customFormat="false" ht="23.85" hidden="false" customHeight="false" outlineLevel="0" collapsed="false">
      <c r="A16" s="6" t="s">
        <v>334</v>
      </c>
      <c r="B16" s="6" t="s">
        <v>906</v>
      </c>
      <c r="C16" s="6" t="s">
        <v>907</v>
      </c>
      <c r="D16" s="7" t="s">
        <v>859</v>
      </c>
      <c r="E16" s="7" t="s">
        <v>908</v>
      </c>
      <c r="F16" s="7" t="s">
        <v>238</v>
      </c>
    </row>
    <row r="17" customFormat="false" ht="15" hidden="false" customHeight="false" outlineLevel="0" collapsed="false">
      <c r="A17" s="6" t="s">
        <v>334</v>
      </c>
      <c r="B17" s="6" t="s">
        <v>909</v>
      </c>
      <c r="C17" s="6" t="s">
        <v>910</v>
      </c>
      <c r="D17" s="7" t="s">
        <v>911</v>
      </c>
      <c r="E17" s="7" t="s">
        <v>912</v>
      </c>
      <c r="F17" s="7" t="s">
        <v>856</v>
      </c>
    </row>
    <row r="18" customFormat="false" ht="23.85" hidden="false" customHeight="false" outlineLevel="0" collapsed="false">
      <c r="A18" s="6" t="s">
        <v>334</v>
      </c>
      <c r="B18" s="6" t="s">
        <v>913</v>
      </c>
      <c r="C18" s="6" t="s">
        <v>914</v>
      </c>
      <c r="D18" s="6" t="s">
        <v>915</v>
      </c>
      <c r="E18" s="7" t="s">
        <v>916</v>
      </c>
      <c r="F18" s="7" t="s">
        <v>856</v>
      </c>
    </row>
    <row r="19" customFormat="false" ht="26.85" hidden="false" customHeight="false" outlineLevel="0" collapsed="false">
      <c r="A19" s="6" t="s">
        <v>334</v>
      </c>
      <c r="B19" s="6" t="s">
        <v>917</v>
      </c>
      <c r="C19" s="6" t="s">
        <v>918</v>
      </c>
      <c r="D19" s="7" t="s">
        <v>919</v>
      </c>
      <c r="E19" s="7" t="s">
        <v>920</v>
      </c>
      <c r="F19" s="7" t="s">
        <v>856</v>
      </c>
    </row>
  </sheetData>
  <autoFilter ref="A1:F19"/>
  <conditionalFormatting sqref="F2:F19">
    <cfRule type="expression" priority="2" aboveAverage="0" equalAverage="0" bottom="0" percent="0" rank="0" text="" dxfId="5">
      <formula>$F2="待改"</formula>
    </cfRule>
    <cfRule type="expression" priority="3" aboveAverage="0" equalAverage="0" bottom="0" percent="0" rank="0" text="" dxfId="6">
      <formula>$F2="部分"</formula>
    </cfRule>
    <cfRule type="expression" priority="4" aboveAverage="0" equalAverage="0" bottom="0" percent="0" rank="0" text="" dxfId="10">
      <formula>$F2="完成"</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0"/>
    <col collapsed="false" customWidth="true" hidden="false" outlineLevel="0" max="3" min="3" style="0" width="18"/>
    <col collapsed="false" customWidth="true" hidden="false" outlineLevel="0" max="4" min="4" style="0" width="10"/>
    <col collapsed="false" customWidth="true" hidden="false" outlineLevel="0" max="5" min="5" style="0" width="12"/>
    <col collapsed="false" customWidth="true" hidden="false" outlineLevel="0" max="6" min="6" style="0" width="10"/>
    <col collapsed="false" customWidth="true" hidden="false" outlineLevel="0" max="7" min="7" style="0" width="60"/>
  </cols>
  <sheetData>
    <row r="1" customFormat="false" ht="19.4" hidden="false" customHeight="false" outlineLevel="0" collapsed="false">
      <c r="A1" s="13" t="s">
        <v>921</v>
      </c>
    </row>
    <row r="3" customFormat="false" ht="15" hidden="false" customHeight="false" outlineLevel="0" collapsed="false">
      <c r="A3" s="14" t="s">
        <v>922</v>
      </c>
      <c r="B3" s="14" t="s">
        <v>923</v>
      </c>
      <c r="C3" s="14" t="s">
        <v>924</v>
      </c>
      <c r="D3" s="14" t="s">
        <v>925</v>
      </c>
      <c r="E3" s="14" t="s">
        <v>926</v>
      </c>
      <c r="F3" s="14" t="s">
        <v>927</v>
      </c>
      <c r="G3" s="14" t="s">
        <v>928</v>
      </c>
    </row>
    <row r="4" customFormat="false" ht="15" hidden="false" customHeight="false" outlineLevel="0" collapsed="false">
      <c r="A4" s="15" t="s">
        <v>929</v>
      </c>
      <c r="B4" s="7" t="n">
        <f aca="false">COUNTIFS(3_现有文献!$Q$2:$Q$21,"原始研究",3_现有文献!$R$2:$R$21,"是")</f>
        <v>10</v>
      </c>
      <c r="C4" s="7" t="n">
        <f aca="false">COUNTIFS(5_新增文献!$C$2:$C$20,"原始研究",5_新增文献!$L$2:$L$20,"是")</f>
        <v>0</v>
      </c>
      <c r="D4" s="7" t="n">
        <f aca="false">B4+C4</f>
        <v>10</v>
      </c>
      <c r="E4" s="7" t="n">
        <v>8</v>
      </c>
      <c r="F4" s="7" t="str">
        <f aca="false">IF(D4&gt;=E4,"达标","不足")</f>
        <v>达标</v>
      </c>
      <c r="G4" s="6" t="s">
        <v>930</v>
      </c>
    </row>
    <row r="5" customFormat="false" ht="15" hidden="false" customHeight="false" outlineLevel="0" collapsed="false">
      <c r="A5" s="15" t="s">
        <v>931</v>
      </c>
      <c r="B5" s="7" t="n">
        <f aca="false">COUNTIFS(3_现有文献!$Q$2:$Q$21,"综述",3_现有文献!$R$2:$R$21,"是")</f>
        <v>1</v>
      </c>
      <c r="C5" s="7" t="n">
        <f aca="false">COUNTIFS(5_新增文献!$C$2:$C$20,"综述",5_新增文献!$L$2:$L$20,"是")</f>
        <v>1</v>
      </c>
      <c r="D5" s="7" t="n">
        <f aca="false">B5+C5</f>
        <v>2</v>
      </c>
      <c r="E5" s="7"/>
      <c r="F5" s="6" t="s">
        <v>53</v>
      </c>
      <c r="G5" s="7" t="s">
        <v>932</v>
      </c>
    </row>
    <row r="6" customFormat="false" ht="15" hidden="false" customHeight="false" outlineLevel="0" collapsed="false">
      <c r="A6" s="15" t="s">
        <v>933</v>
      </c>
      <c r="B6" s="7" t="n">
        <f aca="false">COUNTIFS(3_现有文献!$Q$2:$Q$21,"政策",3_现有文献!$R$2:$R$21,"是")</f>
        <v>3</v>
      </c>
      <c r="C6" s="7" t="n">
        <f aca="false">COUNTIFS(5_新增文献!$C$2:$C$20,"政策",5_新增文献!$L$2:$L$20,"是")</f>
        <v>1</v>
      </c>
      <c r="D6" s="7" t="n">
        <f aca="false">B6+C6</f>
        <v>4</v>
      </c>
      <c r="E6" s="7" t="n">
        <v>4</v>
      </c>
      <c r="F6" s="7" t="str">
        <f aca="false">IF(D6&gt;=E6,"达标","不足")</f>
        <v>达标</v>
      </c>
      <c r="G6" s="6" t="s">
        <v>934</v>
      </c>
    </row>
    <row r="7" customFormat="false" ht="15" hidden="false" customHeight="false" outlineLevel="0" collapsed="false">
      <c r="A7" s="15" t="s">
        <v>935</v>
      </c>
      <c r="B7" s="7" t="n">
        <f aca="false">SUM(B4:B6)</f>
        <v>14</v>
      </c>
      <c r="C7" s="7" t="n">
        <f aca="false">SUM(C4:C6)</f>
        <v>2</v>
      </c>
      <c r="D7" s="7" t="n">
        <f aca="false">B7+C7</f>
        <v>16</v>
      </c>
      <c r="E7" s="7" t="n">
        <v>12</v>
      </c>
      <c r="F7" s="7" t="str">
        <f aca="false">IF(D7&gt;=E7,"达标","不足")</f>
        <v>达标</v>
      </c>
      <c r="G7" s="6" t="s">
        <v>936</v>
      </c>
    </row>
    <row r="8" customFormat="false" ht="15" hidden="false" customHeight="false" outlineLevel="0" collapsed="false">
      <c r="A8" s="15" t="s">
        <v>937</v>
      </c>
      <c r="B8" s="7" t="n">
        <f aca="false">COUNTIF(3_现有文献!$R$2:$R$21,"待定")</f>
        <v>2</v>
      </c>
      <c r="C8" s="7" t="n">
        <f aca="false">COUNTIF(5_新增文献!$L$2:$L$20,"待定")</f>
        <v>10</v>
      </c>
      <c r="D8" s="7" t="n">
        <f aca="false">B8+C8</f>
        <v>12</v>
      </c>
      <c r="E8" s="7"/>
      <c r="F8" s="7"/>
      <c r="G8" s="7" t="s">
        <v>938</v>
      </c>
    </row>
    <row r="9" customFormat="false" ht="26.85" hidden="false" customHeight="false" outlineLevel="0" collapsed="false">
      <c r="A9" s="15" t="s">
        <v>939</v>
      </c>
      <c r="B9" s="7" t="n">
        <f aca="false">COUNTIFS(3_现有文献!$D$2:$D$21,"加拿大*",3_现有文献!$R$2:$R$21,"是")+COUNTIFS(3_现有文献!$D$2:$D$21,"安省*",3_现有文献!$R$2:$R$21,"是")+COUNTIFS(3_现有文献!$D$2:$D$21,"多伦多*",3_现有文献!$R$2:$R$21,"是")</f>
        <v>6</v>
      </c>
      <c r="C9" s="7" t="n">
        <f aca="false">COUNTIF(5_新增文献!$L$2:$L$20,"是")</f>
        <v>2</v>
      </c>
      <c r="D9" s="7" t="n">
        <f aca="false">B9+C9</f>
        <v>8</v>
      </c>
      <c r="E9" s="7"/>
      <c r="F9" s="7"/>
      <c r="G9" s="7" t="s">
        <v>940</v>
      </c>
    </row>
    <row r="11" customFormat="false" ht="15" hidden="false" customHeight="false" outlineLevel="0" collapsed="false">
      <c r="A11" s="16" t="s">
        <v>941</v>
      </c>
    </row>
  </sheetData>
  <conditionalFormatting sqref="F4">
    <cfRule type="expression" priority="2" aboveAverage="0" equalAverage="0" bottom="0" percent="0" rank="0" text="" dxfId="10">
      <formula>$F4="达标"</formula>
    </cfRule>
    <cfRule type="expression" priority="3" aboveAverage="0" equalAverage="0" bottom="0" percent="0" rank="0" text="" dxfId="5">
      <formula>$F4="不足"</formula>
    </cfRule>
  </conditionalFormatting>
  <conditionalFormatting sqref="F5">
    <cfRule type="expression" priority="4" aboveAverage="0" equalAverage="0" bottom="0" percent="0" rank="0" text="" dxfId="10">
      <formula>$F5="达标"</formula>
    </cfRule>
    <cfRule type="expression" priority="5" aboveAverage="0" equalAverage="0" bottom="0" percent="0" rank="0" text="" dxfId="5">
      <formula>$F5="不足"</formula>
    </cfRule>
  </conditionalFormatting>
  <conditionalFormatting sqref="F6">
    <cfRule type="expression" priority="6" aboveAverage="0" equalAverage="0" bottom="0" percent="0" rank="0" text="" dxfId="10">
      <formula>$F6="达标"</formula>
    </cfRule>
    <cfRule type="expression" priority="7" aboveAverage="0" equalAverage="0" bottom="0" percent="0" rank="0" text="" dxfId="5">
      <formula>$F6="不足"</formula>
    </cfRule>
  </conditionalFormatting>
  <conditionalFormatting sqref="F7">
    <cfRule type="expression" priority="8" aboveAverage="0" equalAverage="0" bottom="0" percent="0" rank="0" text="" dxfId="10">
      <formula>$F7="达标"</formula>
    </cfRule>
    <cfRule type="expression" priority="9" aboveAverage="0" equalAverage="0" bottom="0" percent="0" rank="0" text="" dxfId="5">
      <formula>$F7="不足"</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9"/>
    <col collapsed="false" customWidth="true" hidden="false" outlineLevel="0" max="3" min="3" style="0" width="12"/>
    <col collapsed="false" customWidth="true" hidden="false" outlineLevel="0" max="4" min="4" style="0" width="8"/>
    <col collapsed="false" customWidth="true" hidden="false" outlineLevel="0" max="7" min="5" style="0" width="9"/>
    <col collapsed="false" customWidth="true" hidden="false" outlineLevel="0" max="8" min="8" style="0" width="11"/>
  </cols>
  <sheetData>
    <row r="1" customFormat="false" ht="19.4" hidden="false" customHeight="false" outlineLevel="0" collapsed="false">
      <c r="A1" s="13" t="s">
        <v>942</v>
      </c>
    </row>
    <row r="3" customFormat="false" ht="15" hidden="false" customHeight="false" outlineLevel="0" collapsed="false">
      <c r="A3" s="14" t="s">
        <v>943</v>
      </c>
      <c r="B3" s="14" t="s">
        <v>944</v>
      </c>
      <c r="C3" s="14" t="s">
        <v>846</v>
      </c>
      <c r="D3" s="17" t="s">
        <v>945</v>
      </c>
      <c r="E3" s="17" t="s">
        <v>277</v>
      </c>
      <c r="F3" s="17" t="s">
        <v>301</v>
      </c>
      <c r="G3" s="17" t="s">
        <v>322</v>
      </c>
      <c r="H3" s="17" t="s">
        <v>334</v>
      </c>
    </row>
    <row r="4" customFormat="false" ht="15" hidden="false" customHeight="false" outlineLevel="0" collapsed="false">
      <c r="A4" s="6" t="s">
        <v>379</v>
      </c>
      <c r="B4" s="18" t="s">
        <v>394</v>
      </c>
      <c r="C4" s="7" t="s">
        <v>946</v>
      </c>
      <c r="D4" s="19" t="s">
        <v>947</v>
      </c>
      <c r="E4" s="19" t="s">
        <v>947</v>
      </c>
      <c r="F4" s="19"/>
      <c r="G4" s="19"/>
      <c r="H4" s="19"/>
    </row>
    <row r="5" customFormat="false" ht="15" hidden="false" customHeight="false" outlineLevel="0" collapsed="false">
      <c r="A5" s="6" t="s">
        <v>396</v>
      </c>
      <c r="B5" s="18" t="s">
        <v>394</v>
      </c>
      <c r="C5" s="7" t="s">
        <v>946</v>
      </c>
      <c r="D5" s="19"/>
      <c r="E5" s="19"/>
      <c r="F5" s="19" t="s">
        <v>947</v>
      </c>
      <c r="G5" s="19" t="s">
        <v>947</v>
      </c>
      <c r="H5" s="19"/>
    </row>
    <row r="6" customFormat="false" ht="15" hidden="false" customHeight="false" outlineLevel="0" collapsed="false">
      <c r="A6" s="6" t="s">
        <v>127</v>
      </c>
      <c r="B6" s="18" t="s">
        <v>394</v>
      </c>
      <c r="C6" s="7" t="s">
        <v>946</v>
      </c>
      <c r="D6" s="19"/>
      <c r="E6" s="19"/>
      <c r="F6" s="19" t="s">
        <v>947</v>
      </c>
      <c r="G6" s="19" t="s">
        <v>947</v>
      </c>
      <c r="H6" s="19"/>
    </row>
    <row r="7" customFormat="false" ht="15" hidden="false" customHeight="false" outlineLevel="0" collapsed="false">
      <c r="A7" s="6" t="s">
        <v>148</v>
      </c>
      <c r="B7" s="7" t="s">
        <v>433</v>
      </c>
      <c r="C7" s="7" t="s">
        <v>946</v>
      </c>
      <c r="D7" s="19"/>
      <c r="E7" s="19" t="s">
        <v>947</v>
      </c>
      <c r="F7" s="19" t="s">
        <v>947</v>
      </c>
      <c r="G7" s="19"/>
      <c r="H7" s="19"/>
    </row>
    <row r="8" customFormat="false" ht="15" hidden="false" customHeight="false" outlineLevel="0" collapsed="false">
      <c r="A8" s="6" t="s">
        <v>447</v>
      </c>
      <c r="B8" s="7" t="s">
        <v>433</v>
      </c>
      <c r="C8" s="7" t="s">
        <v>946</v>
      </c>
      <c r="D8" s="19"/>
      <c r="E8" s="19" t="s">
        <v>947</v>
      </c>
      <c r="F8" s="19"/>
      <c r="G8" s="19"/>
      <c r="H8" s="19"/>
    </row>
    <row r="9" customFormat="false" ht="15" hidden="false" customHeight="false" outlineLevel="0" collapsed="false">
      <c r="A9" s="6" t="s">
        <v>467</v>
      </c>
      <c r="B9" s="7" t="s">
        <v>433</v>
      </c>
      <c r="C9" s="7" t="s">
        <v>946</v>
      </c>
      <c r="D9" s="19"/>
      <c r="E9" s="19"/>
      <c r="F9" s="19" t="s">
        <v>947</v>
      </c>
      <c r="G9" s="19" t="s">
        <v>947</v>
      </c>
      <c r="H9" s="19"/>
    </row>
    <row r="10" customFormat="false" ht="15" hidden="false" customHeight="false" outlineLevel="0" collapsed="false">
      <c r="A10" s="6" t="s">
        <v>477</v>
      </c>
      <c r="B10" s="7" t="s">
        <v>433</v>
      </c>
      <c r="C10" s="7" t="s">
        <v>946</v>
      </c>
      <c r="D10" s="19"/>
      <c r="E10" s="19"/>
      <c r="F10" s="19" t="s">
        <v>947</v>
      </c>
      <c r="G10" s="19" t="s">
        <v>947</v>
      </c>
      <c r="H10" s="19"/>
    </row>
    <row r="11" customFormat="false" ht="15" hidden="false" customHeight="false" outlineLevel="0" collapsed="false">
      <c r="A11" s="6" t="s">
        <v>486</v>
      </c>
      <c r="B11" s="7" t="s">
        <v>433</v>
      </c>
      <c r="C11" s="7" t="s">
        <v>946</v>
      </c>
      <c r="D11" s="19"/>
      <c r="E11" s="19"/>
      <c r="F11" s="19"/>
      <c r="G11" s="19" t="s">
        <v>947</v>
      </c>
      <c r="H11" s="19"/>
    </row>
    <row r="12" customFormat="false" ht="15" hidden="false" customHeight="false" outlineLevel="0" collapsed="false">
      <c r="A12" s="6" t="s">
        <v>495</v>
      </c>
      <c r="B12" s="7" t="s">
        <v>433</v>
      </c>
      <c r="C12" s="7" t="s">
        <v>946</v>
      </c>
      <c r="D12" s="19" t="s">
        <v>947</v>
      </c>
      <c r="E12" s="19"/>
      <c r="F12" s="19" t="s">
        <v>947</v>
      </c>
      <c r="G12" s="19" t="s">
        <v>947</v>
      </c>
      <c r="H12" s="19" t="s">
        <v>947</v>
      </c>
    </row>
    <row r="13" customFormat="false" ht="15" hidden="false" customHeight="false" outlineLevel="0" collapsed="false">
      <c r="A13" s="6" t="s">
        <v>509</v>
      </c>
      <c r="B13" s="7" t="s">
        <v>433</v>
      </c>
      <c r="C13" s="7" t="s">
        <v>946</v>
      </c>
      <c r="D13" s="19"/>
      <c r="E13" s="19"/>
      <c r="F13" s="19" t="s">
        <v>947</v>
      </c>
      <c r="G13" s="19"/>
      <c r="H13" s="19"/>
    </row>
    <row r="14" customFormat="false" ht="15" hidden="false" customHeight="false" outlineLevel="0" collapsed="false">
      <c r="A14" s="6" t="s">
        <v>520</v>
      </c>
      <c r="B14" s="7" t="s">
        <v>433</v>
      </c>
      <c r="C14" s="7" t="s">
        <v>946</v>
      </c>
      <c r="D14" s="19"/>
      <c r="E14" s="19"/>
      <c r="F14" s="19" t="s">
        <v>947</v>
      </c>
      <c r="G14" s="19" t="s">
        <v>947</v>
      </c>
      <c r="H14" s="19"/>
    </row>
    <row r="15" customFormat="false" ht="15" hidden="false" customHeight="false" outlineLevel="0" collapsed="false">
      <c r="A15" s="6" t="s">
        <v>529</v>
      </c>
      <c r="B15" s="18" t="s">
        <v>394</v>
      </c>
      <c r="C15" s="7" t="s">
        <v>946</v>
      </c>
      <c r="D15" s="19" t="s">
        <v>947</v>
      </c>
      <c r="E15" s="19"/>
      <c r="F15" s="19"/>
      <c r="G15" s="19"/>
      <c r="H15" s="19"/>
    </row>
    <row r="16" customFormat="false" ht="15" hidden="false" customHeight="false" outlineLevel="0" collapsed="false">
      <c r="A16" s="6" t="s">
        <v>540</v>
      </c>
      <c r="B16" s="18" t="s">
        <v>394</v>
      </c>
      <c r="C16" s="7" t="s">
        <v>946</v>
      </c>
      <c r="D16" s="19" t="s">
        <v>947</v>
      </c>
      <c r="E16" s="19"/>
      <c r="F16" s="19"/>
      <c r="G16" s="19"/>
      <c r="H16" s="19"/>
    </row>
    <row r="17" customFormat="false" ht="15" hidden="false" customHeight="false" outlineLevel="0" collapsed="false">
      <c r="A17" s="6" t="s">
        <v>548</v>
      </c>
      <c r="B17" s="18" t="s">
        <v>394</v>
      </c>
      <c r="C17" s="7" t="s">
        <v>948</v>
      </c>
      <c r="D17" s="19" t="s">
        <v>947</v>
      </c>
      <c r="E17" s="19"/>
      <c r="F17" s="19"/>
      <c r="G17" s="19"/>
      <c r="H17" s="19"/>
    </row>
    <row r="18" customFormat="false" ht="15" hidden="false" customHeight="false" outlineLevel="0" collapsed="false">
      <c r="A18" s="6" t="s">
        <v>46</v>
      </c>
      <c r="B18" s="18" t="s">
        <v>394</v>
      </c>
      <c r="C18" s="7" t="s">
        <v>946</v>
      </c>
      <c r="D18" s="19" t="s">
        <v>947</v>
      </c>
      <c r="E18" s="19" t="s">
        <v>947</v>
      </c>
      <c r="F18" s="19" t="s">
        <v>947</v>
      </c>
      <c r="G18" s="19" t="s">
        <v>947</v>
      </c>
      <c r="H18" s="19" t="s">
        <v>947</v>
      </c>
    </row>
    <row r="19" customFormat="false" ht="15" hidden="false" customHeight="false" outlineLevel="0" collapsed="false">
      <c r="A19" s="6" t="s">
        <v>588</v>
      </c>
      <c r="B19" s="18" t="s">
        <v>394</v>
      </c>
      <c r="C19" s="7" t="s">
        <v>948</v>
      </c>
      <c r="D19" s="19"/>
      <c r="E19" s="19" t="s">
        <v>947</v>
      </c>
      <c r="F19" s="19"/>
      <c r="G19" s="19" t="s">
        <v>947</v>
      </c>
      <c r="H19" s="19"/>
    </row>
    <row r="20" customFormat="false" ht="15" hidden="false" customHeight="false" outlineLevel="0" collapsed="false">
      <c r="A20" s="6" t="s">
        <v>949</v>
      </c>
      <c r="B20" s="18" t="s">
        <v>394</v>
      </c>
      <c r="C20" s="7" t="s">
        <v>950</v>
      </c>
      <c r="D20" s="19" t="s">
        <v>947</v>
      </c>
      <c r="E20" s="19"/>
      <c r="F20" s="19"/>
      <c r="G20" s="19" t="s">
        <v>947</v>
      </c>
      <c r="H20" s="19" t="s">
        <v>947</v>
      </c>
    </row>
    <row r="21" customFormat="false" ht="15" hidden="false" customHeight="false" outlineLevel="0" collapsed="false">
      <c r="A21" s="6" t="s">
        <v>951</v>
      </c>
      <c r="B21" s="18" t="s">
        <v>394</v>
      </c>
      <c r="C21" s="7" t="s">
        <v>950</v>
      </c>
      <c r="D21" s="19"/>
      <c r="E21" s="19"/>
      <c r="F21" s="19"/>
      <c r="G21" s="19" t="s">
        <v>947</v>
      </c>
      <c r="H21" s="19"/>
    </row>
    <row r="22" customFormat="false" ht="15" hidden="false" customHeight="false" outlineLevel="0" collapsed="false">
      <c r="A22" s="6" t="s">
        <v>952</v>
      </c>
      <c r="B22" s="18" t="s">
        <v>394</v>
      </c>
      <c r="C22" s="7" t="s">
        <v>953</v>
      </c>
      <c r="D22" s="19"/>
      <c r="E22" s="19" t="s">
        <v>947</v>
      </c>
      <c r="F22" s="19" t="s">
        <v>947</v>
      </c>
      <c r="G22" s="19"/>
      <c r="H22" s="19"/>
    </row>
    <row r="23" customFormat="false" ht="15" hidden="false" customHeight="false" outlineLevel="0" collapsed="false">
      <c r="A23" s="6" t="s">
        <v>954</v>
      </c>
      <c r="B23" s="18" t="s">
        <v>394</v>
      </c>
      <c r="C23" s="7" t="s">
        <v>953</v>
      </c>
      <c r="D23" s="19"/>
      <c r="E23" s="19" t="s">
        <v>947</v>
      </c>
      <c r="F23" s="19"/>
      <c r="G23" s="19" t="s">
        <v>947</v>
      </c>
      <c r="H23" s="19"/>
    </row>
    <row r="24" customFormat="false" ht="15" hidden="false" customHeight="false" outlineLevel="0" collapsed="false">
      <c r="A24" s="6" t="s">
        <v>955</v>
      </c>
      <c r="B24" s="18" t="s">
        <v>394</v>
      </c>
      <c r="C24" s="7" t="s">
        <v>953</v>
      </c>
      <c r="D24" s="19"/>
      <c r="E24" s="19"/>
      <c r="F24" s="19" t="s">
        <v>947</v>
      </c>
      <c r="G24" s="19"/>
      <c r="H24" s="19"/>
    </row>
    <row r="25" customFormat="false" ht="15" hidden="false" customHeight="false" outlineLevel="0" collapsed="false">
      <c r="A25" s="6" t="s">
        <v>956</v>
      </c>
      <c r="B25" s="18" t="s">
        <v>394</v>
      </c>
      <c r="C25" s="7" t="s">
        <v>953</v>
      </c>
      <c r="D25" s="19"/>
      <c r="E25" s="19"/>
      <c r="F25" s="19" t="s">
        <v>947</v>
      </c>
      <c r="G25" s="19" t="s">
        <v>947</v>
      </c>
      <c r="H25" s="19"/>
    </row>
    <row r="26" customFormat="false" ht="15" hidden="false" customHeight="false" outlineLevel="0" collapsed="false">
      <c r="A26" s="6" t="s">
        <v>957</v>
      </c>
      <c r="B26" s="18" t="s">
        <v>394</v>
      </c>
      <c r="C26" s="7" t="s">
        <v>953</v>
      </c>
      <c r="D26" s="19"/>
      <c r="E26" s="19"/>
      <c r="F26" s="19" t="s">
        <v>947</v>
      </c>
      <c r="G26" s="19" t="s">
        <v>947</v>
      </c>
      <c r="H26" s="19"/>
    </row>
    <row r="27" customFormat="false" ht="15" hidden="false" customHeight="false" outlineLevel="0" collapsed="false">
      <c r="A27" s="6" t="s">
        <v>958</v>
      </c>
      <c r="B27" s="18" t="s">
        <v>394</v>
      </c>
      <c r="C27" s="7" t="s">
        <v>953</v>
      </c>
      <c r="D27" s="19" t="s">
        <v>947</v>
      </c>
      <c r="E27" s="19"/>
      <c r="F27" s="19"/>
      <c r="G27" s="19"/>
      <c r="H27" s="19"/>
    </row>
    <row r="28" customFormat="false" ht="15" hidden="false" customHeight="false" outlineLevel="0" collapsed="false">
      <c r="A28" s="6" t="s">
        <v>959</v>
      </c>
      <c r="B28" s="18" t="s">
        <v>394</v>
      </c>
      <c r="C28" s="7" t="s">
        <v>953</v>
      </c>
      <c r="D28" s="19"/>
      <c r="E28" s="19"/>
      <c r="F28" s="19"/>
      <c r="G28" s="19" t="s">
        <v>947</v>
      </c>
      <c r="H28" s="19"/>
    </row>
    <row r="29" customFormat="false" ht="15" hidden="false" customHeight="false" outlineLevel="0" collapsed="false">
      <c r="A29" s="6" t="s">
        <v>960</v>
      </c>
      <c r="B29" s="18" t="s">
        <v>394</v>
      </c>
      <c r="C29" s="7" t="s">
        <v>953</v>
      </c>
      <c r="D29" s="19"/>
      <c r="E29" s="19" t="s">
        <v>947</v>
      </c>
      <c r="F29" s="19"/>
      <c r="G29" s="19"/>
      <c r="H29" s="19"/>
    </row>
    <row r="30" customFormat="false" ht="15" hidden="false" customHeight="false" outlineLevel="0" collapsed="false">
      <c r="A30" s="6" t="s">
        <v>961</v>
      </c>
      <c r="B30" s="18" t="s">
        <v>394</v>
      </c>
      <c r="C30" s="7" t="s">
        <v>953</v>
      </c>
      <c r="D30" s="19" t="s">
        <v>947</v>
      </c>
      <c r="E30" s="19"/>
      <c r="F30" s="19"/>
      <c r="G30" s="19"/>
      <c r="H30" s="19"/>
    </row>
    <row r="31" customFormat="false" ht="15" hidden="false" customHeight="false" outlineLevel="0" collapsed="false">
      <c r="A31" s="6" t="s">
        <v>962</v>
      </c>
      <c r="B31" s="18" t="s">
        <v>394</v>
      </c>
      <c r="C31" s="7" t="s">
        <v>953</v>
      </c>
      <c r="D31" s="19"/>
      <c r="E31" s="19" t="s">
        <v>947</v>
      </c>
      <c r="F31" s="19"/>
      <c r="G31" s="19"/>
      <c r="H31" s="19"/>
    </row>
    <row r="32" customFormat="false" ht="15" hidden="false" customHeight="false" outlineLevel="0" collapsed="false">
      <c r="A32" s="20" t="s">
        <v>963</v>
      </c>
      <c r="D32" s="21" t="n">
        <f aca="false">COUNTIFS(D4:D31,"✓",$C$4:$C$31,"*是")</f>
        <v>6</v>
      </c>
      <c r="E32" s="21" t="n">
        <f aca="false">COUNTIFS(E4:E31,"✓",$C$4:$C$31,"*是")</f>
        <v>4</v>
      </c>
      <c r="F32" s="21" t="n">
        <f aca="false">COUNTIFS(F4:F31,"✓",$C$4:$C$31,"*是")</f>
        <v>9</v>
      </c>
      <c r="G32" s="21" t="n">
        <f aca="false">COUNTIFS(G4:G31,"✓",$C$4:$C$31,"*是")</f>
        <v>10</v>
      </c>
      <c r="H32" s="21" t="n">
        <f aca="false">COUNTIFS(H4:H31,"✓",$C$4:$C$31,"*是")</f>
        <v>3</v>
      </c>
    </row>
    <row r="33" customFormat="false" ht="15" hidden="false" customHeight="false" outlineLevel="0" collapsed="false">
      <c r="A33" s="20" t="s">
        <v>964</v>
      </c>
      <c r="D33" s="21" t="n">
        <f aca="false">COUNTIFS(D4:D31,"✓",$B$4:$B$31,"是",$C$4:$C$31,"*是")</f>
        <v>5</v>
      </c>
      <c r="E33" s="21" t="n">
        <f aca="false">COUNTIFS(E4:E31,"✓",$B$4:$B$31,"是",$C$4:$C$31,"*是")</f>
        <v>2</v>
      </c>
      <c r="F33" s="21" t="n">
        <f aca="false">COUNTIFS(F4:F31,"✓",$B$4:$B$31,"是",$C$4:$C$31,"*是")</f>
        <v>3</v>
      </c>
      <c r="G33" s="21" t="n">
        <f aca="false">COUNTIFS(G4:G31,"✓",$B$4:$B$31,"是",$C$4:$C$31,"*是")</f>
        <v>5</v>
      </c>
      <c r="H33" s="21" t="n">
        <f aca="false">COUNTIFS(H4:H31,"✓",$B$4:$B$31,"是",$C$4:$C$31,"*是")</f>
        <v>2</v>
      </c>
    </row>
    <row r="34" customFormat="false" ht="15" hidden="false" customHeight="false" outlineLevel="0" collapsed="false">
      <c r="A34" s="20" t="s">
        <v>965</v>
      </c>
      <c r="D34" s="21" t="n">
        <f aca="false">COUNTIF(D4:D31,"✓")</f>
        <v>9</v>
      </c>
      <c r="E34" s="21" t="n">
        <f aca="false">COUNTIF(E4:E31,"✓")</f>
        <v>9</v>
      </c>
      <c r="F34" s="21" t="n">
        <f aca="false">COUNTIF(F4:F31,"✓")</f>
        <v>13</v>
      </c>
      <c r="G34" s="21" t="n">
        <f aca="false">COUNTIF(G4:G31,"✓")</f>
        <v>15</v>
      </c>
      <c r="H34" s="21" t="n">
        <f aca="false">COUNTIF(H4:H31,"✓")</f>
        <v>3</v>
      </c>
    </row>
  </sheetData>
  <conditionalFormatting sqref="D33">
    <cfRule type="expression" priority="2" aboveAverage="0" equalAverage="0" bottom="0" percent="0" rank="0" text="" dxfId="5">
      <formula>D33=0</formula>
    </cfRule>
    <cfRule type="expression" priority="3" aboveAverage="0" equalAverage="0" bottom="0" percent="0" rank="0" text="" dxfId="5">
      <formula>D33=0</formula>
    </cfRule>
    <cfRule type="expression" priority="4" aboveAverage="0" equalAverage="0" bottom="0" percent="0" rank="0" text="" dxfId="5">
      <formula>D33=0</formula>
    </cfRule>
  </conditionalFormatting>
  <conditionalFormatting sqref="E33">
    <cfRule type="expression" priority="5" aboveAverage="0" equalAverage="0" bottom="0" percent="0" rank="0" text="" dxfId="5">
      <formula>E33=0</formula>
    </cfRule>
    <cfRule type="expression" priority="6" aboveAverage="0" equalAverage="0" bottom="0" percent="0" rank="0" text="" dxfId="5">
      <formula>E33=0</formula>
    </cfRule>
    <cfRule type="expression" priority="7" aboveAverage="0" equalAverage="0" bottom="0" percent="0" rank="0" text="" dxfId="5">
      <formula>E33=0</formula>
    </cfRule>
  </conditionalFormatting>
  <conditionalFormatting sqref="F33">
    <cfRule type="expression" priority="8" aboveAverage="0" equalAverage="0" bottom="0" percent="0" rank="0" text="" dxfId="5">
      <formula>F33=0</formula>
    </cfRule>
    <cfRule type="expression" priority="9" aboveAverage="0" equalAverage="0" bottom="0" percent="0" rank="0" text="" dxfId="5">
      <formula>F33=0</formula>
    </cfRule>
    <cfRule type="expression" priority="10" aboveAverage="0" equalAverage="0" bottom="0" percent="0" rank="0" text="" dxfId="5">
      <formula>F33=0</formula>
    </cfRule>
  </conditionalFormatting>
  <conditionalFormatting sqref="G33">
    <cfRule type="expression" priority="11" aboveAverage="0" equalAverage="0" bottom="0" percent="0" rank="0" text="" dxfId="5">
      <formula>G33=0</formula>
    </cfRule>
    <cfRule type="expression" priority="12" aboveAverage="0" equalAverage="0" bottom="0" percent="0" rank="0" text="" dxfId="5">
      <formula>G33=0</formula>
    </cfRule>
    <cfRule type="expression" priority="13" aboveAverage="0" equalAverage="0" bottom="0" percent="0" rank="0" text="" dxfId="5">
      <formula>G33=0</formula>
    </cfRule>
  </conditionalFormatting>
  <conditionalFormatting sqref="H33">
    <cfRule type="expression" priority="14" aboveAverage="0" equalAverage="0" bottom="0" percent="0" rank="0" text="" dxfId="5">
      <formula>H33=0</formula>
    </cfRule>
    <cfRule type="expression" priority="15" aboveAverage="0" equalAverage="0" bottom="0" percent="0" rank="0" text="" dxfId="5">
      <formula>H33=0</formula>
    </cfRule>
    <cfRule type="expression" priority="16" aboveAverage="0" equalAverage="0" bottom="0" percent="0" rank="0" text="" dxfId="5">
      <formula>H33=0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2026-10-09T19:49:50Z</dcterms:created>
  <dc:creator>openpyxl</dc:creator>
  <dc:description/>
  <dc:language>en-US</dc:language>
  <cp:lastModifiedBy/>
  <dcterms:modified xsi:type="dcterms:W3CDTF">2026-10-09T19:49:50Z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